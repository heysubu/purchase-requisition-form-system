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40AC91E-0925-42DA-9AA9-A76B2D5339EC}" xr6:coauthVersionLast="47" xr6:coauthVersionMax="47" xr10:uidLastSave="{00000000-0000-0000-0000-000000000000}"/>
  <bookViews>
    <workbookView xWindow="-120" yWindow="-120" windowWidth="20640" windowHeight="11040" tabRatio="804" xr2:uid="{00000000-000D-0000-FFFF-FFFF00000000}"/>
  </bookViews>
  <sheets>
    <sheet name="Requisition Form" sheetId="1" r:id="rId1"/>
    <sheet name="Data" sheetId="18" r:id="rId2"/>
    <sheet name="Validation" sheetId="19" r:id="rId3"/>
  </sheets>
  <definedNames>
    <definedName name="_xlnm._FilterDatabase" localSheetId="1" hidden="1">Data!$A$2:$N$119</definedName>
    <definedName name="_xlnm._FilterDatabase" localSheetId="0" hidden="1">'Requisition Form'!$I$27:$I$28</definedName>
    <definedName name="_xlnm.Print_Area" localSheetId="0">'Requisition Form'!$A$3:$I$42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0" i="18" l="1"/>
  <c r="A120" i="18"/>
  <c r="C36" i="1"/>
  <c r="C34" i="1"/>
  <c r="I27" i="1"/>
  <c r="A10" i="1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101" i="18"/>
  <c r="B102" i="18"/>
  <c r="B103" i="18"/>
  <c r="B104" i="18"/>
  <c r="B105" i="18"/>
  <c r="B106" i="18"/>
  <c r="B107" i="18"/>
  <c r="B108" i="18"/>
  <c r="B109" i="18"/>
  <c r="B110" i="18"/>
  <c r="B111" i="18"/>
  <c r="B112" i="18"/>
  <c r="B113" i="18"/>
  <c r="B114" i="18"/>
  <c r="B115" i="18"/>
  <c r="B116" i="18"/>
  <c r="B117" i="18"/>
  <c r="B118" i="18"/>
  <c r="B119" i="18"/>
  <c r="B3" i="18"/>
  <c r="M4" i="18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M26" i="18"/>
  <c r="M27" i="18"/>
  <c r="M28" i="18"/>
  <c r="M29" i="18"/>
  <c r="M30" i="18"/>
  <c r="M31" i="18"/>
  <c r="M32" i="18"/>
  <c r="M33" i="18"/>
  <c r="M34" i="18"/>
  <c r="M35" i="18"/>
  <c r="M36" i="18"/>
  <c r="M37" i="18"/>
  <c r="M38" i="18"/>
  <c r="M39" i="18"/>
  <c r="M40" i="18"/>
  <c r="M41" i="18"/>
  <c r="M42" i="18"/>
  <c r="M43" i="18"/>
  <c r="M44" i="18"/>
  <c r="M45" i="18"/>
  <c r="M46" i="18"/>
  <c r="M47" i="18"/>
  <c r="M48" i="18"/>
  <c r="M49" i="18"/>
  <c r="M50" i="18"/>
  <c r="M51" i="18"/>
  <c r="M52" i="18"/>
  <c r="M53" i="18"/>
  <c r="M54" i="18"/>
  <c r="M55" i="18"/>
  <c r="M56" i="18"/>
  <c r="M57" i="18"/>
  <c r="M58" i="18"/>
  <c r="M59" i="18"/>
  <c r="M60" i="18"/>
  <c r="M61" i="18"/>
  <c r="M62" i="18"/>
  <c r="M63" i="18"/>
  <c r="M64" i="18"/>
  <c r="M65" i="18"/>
  <c r="M66" i="18"/>
  <c r="M67" i="18"/>
  <c r="M68" i="18"/>
  <c r="M69" i="18"/>
  <c r="M70" i="18"/>
  <c r="M71" i="18"/>
  <c r="M72" i="18"/>
  <c r="M73" i="18"/>
  <c r="M74" i="18"/>
  <c r="M75" i="18"/>
  <c r="M76" i="18"/>
  <c r="M77" i="18"/>
  <c r="M78" i="18"/>
  <c r="M79" i="18"/>
  <c r="M80" i="18"/>
  <c r="M81" i="18"/>
  <c r="M82" i="18"/>
  <c r="M83" i="18"/>
  <c r="M84" i="18"/>
  <c r="M85" i="18"/>
  <c r="M86" i="18"/>
  <c r="M87" i="18"/>
  <c r="M88" i="18"/>
  <c r="M89" i="18"/>
  <c r="M90" i="18"/>
  <c r="M91" i="18"/>
  <c r="M92" i="18"/>
  <c r="M93" i="18"/>
  <c r="M94" i="18"/>
  <c r="M95" i="18"/>
  <c r="M96" i="18"/>
  <c r="M97" i="18"/>
  <c r="M98" i="18"/>
  <c r="M99" i="18"/>
  <c r="M100" i="18"/>
  <c r="M101" i="18"/>
  <c r="M102" i="18"/>
  <c r="M103" i="18"/>
  <c r="M104" i="18"/>
  <c r="M105" i="18"/>
  <c r="M106" i="18"/>
  <c r="M107" i="18"/>
  <c r="M108" i="18"/>
  <c r="M109" i="18"/>
  <c r="M110" i="18"/>
  <c r="M111" i="18"/>
  <c r="M112" i="18"/>
  <c r="M113" i="18"/>
  <c r="M114" i="18"/>
  <c r="M115" i="18"/>
  <c r="M116" i="18"/>
  <c r="M117" i="18"/>
  <c r="M118" i="18"/>
  <c r="M119" i="18"/>
  <c r="M3" i="18"/>
  <c r="A119" i="18"/>
  <c r="A118" i="18"/>
  <c r="A117" i="18"/>
  <c r="A116" i="18"/>
  <c r="A115" i="18" l="1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 l="1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68" i="18"/>
  <c r="A83" i="18" l="1"/>
  <c r="A82" i="18" l="1"/>
  <c r="A81" i="18" l="1"/>
  <c r="A80" i="18" l="1"/>
  <c r="A79" i="18"/>
  <c r="A78" i="18"/>
  <c r="A77" i="18"/>
  <c r="A76" i="18" l="1"/>
  <c r="A75" i="18"/>
  <c r="A74" i="18"/>
  <c r="A73" i="18" l="1"/>
  <c r="A72" i="18"/>
  <c r="A71" i="18" l="1"/>
  <c r="A70" i="18"/>
  <c r="A69" i="18" l="1"/>
  <c r="A67" i="18" l="1"/>
  <c r="A66" i="18" l="1"/>
  <c r="A65" i="18"/>
  <c r="A64" i="18"/>
  <c r="A63" i="18"/>
  <c r="A62" i="18" l="1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 l="1"/>
  <c r="A46" i="18" l="1"/>
  <c r="A45" i="18"/>
  <c r="A44" i="18" l="1"/>
  <c r="A43" i="18"/>
  <c r="A42" i="18"/>
  <c r="A41" i="18" l="1"/>
  <c r="A40" i="18" l="1"/>
  <c r="A39" i="18"/>
  <c r="A38" i="18" l="1"/>
  <c r="A37" i="18"/>
  <c r="A36" i="18" l="1"/>
  <c r="A35" i="18"/>
  <c r="A34" i="18"/>
  <c r="A33" i="18"/>
  <c r="A32" i="18" l="1"/>
  <c r="A31" i="18" l="1"/>
  <c r="A30" i="18"/>
  <c r="A29" i="18"/>
  <c r="A28" i="18"/>
  <c r="A27" i="18"/>
  <c r="A26" i="18"/>
  <c r="A25" i="18"/>
  <c r="A24" i="18"/>
  <c r="A23" i="18" l="1"/>
  <c r="A22" i="18"/>
  <c r="A21" i="18"/>
  <c r="A20" i="18" l="1"/>
  <c r="A19" i="18" l="1"/>
  <c r="A18" i="18"/>
  <c r="A17" i="18" l="1"/>
  <c r="A16" i="18"/>
  <c r="A15" i="18"/>
  <c r="A14" i="18" l="1"/>
  <c r="A13" i="18"/>
  <c r="A12" i="18"/>
  <c r="A11" i="18" l="1"/>
  <c r="A10" i="18"/>
  <c r="A9" i="18" l="1"/>
  <c r="A8" i="18" l="1"/>
  <c r="A7" i="18" l="1"/>
  <c r="A6" i="18"/>
  <c r="A5" i="18" l="1"/>
  <c r="A4" i="18" l="1"/>
  <c r="A3" i="18"/>
  <c r="C7" i="1" l="1"/>
  <c r="C32" i="1" s="1"/>
  <c r="H6" i="1"/>
  <c r="C8" i="1"/>
  <c r="C30" i="1" s="1"/>
  <c r="C6" i="1"/>
  <c r="H7" i="1"/>
  <c r="A5" i="1"/>
</calcChain>
</file>

<file path=xl/sharedStrings.xml><?xml version="1.0" encoding="utf-8"?>
<sst xmlns="http://schemas.openxmlformats.org/spreadsheetml/2006/main" count="1168" uniqueCount="127">
  <si>
    <t>PURCHASE REQUISITION FORM</t>
  </si>
  <si>
    <t>Requisition Number :</t>
  </si>
  <si>
    <t>Date :</t>
  </si>
  <si>
    <t>Name of the Manager :</t>
  </si>
  <si>
    <t>Project/Department :</t>
  </si>
  <si>
    <t>Requested by :</t>
  </si>
  <si>
    <t>Signature :</t>
  </si>
  <si>
    <t>Justification for Request:</t>
  </si>
  <si>
    <t>No.</t>
  </si>
  <si>
    <t>Description</t>
  </si>
  <si>
    <t>Stock Code</t>
  </si>
  <si>
    <t>Unit Price</t>
  </si>
  <si>
    <t>Qty.</t>
  </si>
  <si>
    <t>Discount</t>
  </si>
  <si>
    <t>Total</t>
  </si>
  <si>
    <t>Prepared  By :</t>
  </si>
  <si>
    <t>Signature:</t>
  </si>
  <si>
    <t>Approved By:</t>
  </si>
  <si>
    <t>Authorised By:</t>
  </si>
  <si>
    <t>Received By:</t>
  </si>
  <si>
    <t>Company Name</t>
  </si>
  <si>
    <t>Date</t>
  </si>
  <si>
    <t>Requisition Number</t>
  </si>
  <si>
    <t>Name of the Manager</t>
  </si>
  <si>
    <t>Project/Department</t>
  </si>
  <si>
    <t>Requested by</t>
  </si>
  <si>
    <t>Justification for Request</t>
  </si>
  <si>
    <t>Sr.</t>
  </si>
  <si>
    <t>Select Sr.</t>
  </si>
  <si>
    <t xml:space="preserve"> </t>
  </si>
  <si>
    <t>Admin/PUNE/03/25-26/MAT-01</t>
  </si>
  <si>
    <t>Admin/PUNE/4/25-26/MAT-01</t>
  </si>
  <si>
    <t>Vendor Name</t>
  </si>
  <si>
    <t>Exp Type</t>
  </si>
  <si>
    <t>HK Material</t>
  </si>
  <si>
    <t>Stationery Material</t>
  </si>
  <si>
    <t>Admin/PUNE/03/25-26/MAT-02</t>
  </si>
  <si>
    <t>Duplication Checking</t>
  </si>
  <si>
    <t>Admin/PUNE/03/25-26/MAT-03</t>
  </si>
  <si>
    <t>Admin/PUNE/04/25-26/MAT-01</t>
  </si>
  <si>
    <t>Admin/PUNE/04/25-26/MAT-02</t>
  </si>
  <si>
    <t>Admin/PUNE/04/25-26/MAT-03</t>
  </si>
  <si>
    <t>Admin/PUNE/05/25-26/MAT-01</t>
  </si>
  <si>
    <t>Admin/PUNE/05/25-26/MAT-02</t>
  </si>
  <si>
    <t>Admin/PUNE/05/25-26/MAT-03</t>
  </si>
  <si>
    <t>Admin/PUNE/5/25-26/MAT-01</t>
  </si>
  <si>
    <t>Admin/PUNE/06/25-26/MAT-03</t>
  </si>
  <si>
    <t>Admin/PUNE/06/25-26/MAT-02</t>
  </si>
  <si>
    <t>Admin/PUNE/06/25-26/MAT-01</t>
  </si>
  <si>
    <t>Admin/PUNE/6/25-26/MAT-01</t>
  </si>
  <si>
    <t>Admin/PUNE/6/25-26/MAT-02</t>
  </si>
  <si>
    <t>Admin/PUNE/06/25-26/MAT-04</t>
  </si>
  <si>
    <t>Admin/PUNE/07/25-26/MAT-01</t>
  </si>
  <si>
    <t>Admin/PUNE/07/25-26/MAT-02</t>
  </si>
  <si>
    <t>Admin/PUNE/7/25-26/MAT-01</t>
  </si>
  <si>
    <t>Admin/PUNE/7/25-26/MAT-02</t>
  </si>
  <si>
    <t>Admin/PUNE/07/25-26/MAT-04</t>
  </si>
  <si>
    <t>Admin/PUNE/07/25-26/MAT-03</t>
  </si>
  <si>
    <t>Admin/PUNE/08/25-26/MAT-01</t>
  </si>
  <si>
    <t>Admin/PUNE/08/25-26/MAT-02</t>
  </si>
  <si>
    <t>Admin/PUNE/8/25-26/MAT-01</t>
  </si>
  <si>
    <t>Admin/PUNE/8/25-26/MAT-02</t>
  </si>
  <si>
    <t>Admin/PUNE/08/25-26/MAT-03</t>
  </si>
  <si>
    <t>Admin/PUNE/9/25-26/MAT-01</t>
  </si>
  <si>
    <t>Admin/PUNE/09/25-26/MAT-01</t>
  </si>
  <si>
    <t>Admin/PUNE/09/25-26/MAT-02</t>
  </si>
  <si>
    <t>Admin/PUNE/09/25-26/MAT-03</t>
  </si>
  <si>
    <t>Admin/PUNE/09/25-26/MAT-04</t>
  </si>
  <si>
    <t>Coffee Material</t>
  </si>
  <si>
    <t>Medicine Material</t>
  </si>
  <si>
    <t>BlueRock Advisors</t>
  </si>
  <si>
    <t>NexaSoft Solutions</t>
  </si>
  <si>
    <t>FreshWave Services</t>
  </si>
  <si>
    <t>AutoShine Hub</t>
  </si>
  <si>
    <t>PixelGrow Agency</t>
  </si>
  <si>
    <t>UrbanDesk Workspaces</t>
  </si>
  <si>
    <t>DataSpring Analytics</t>
  </si>
  <si>
    <t>SpiceRoute Kitchen</t>
  </si>
  <si>
    <t>SkyEdge Aviation</t>
  </si>
  <si>
    <t>PrimeNest Realty</t>
  </si>
  <si>
    <t>BrandVista Commerce</t>
  </si>
  <si>
    <t>EliteHaven Properties</t>
  </si>
  <si>
    <t>ClickForge Studio</t>
  </si>
  <si>
    <t>LeadSpark Marketing</t>
  </si>
  <si>
    <t>MediaPulse Network</t>
  </si>
  <si>
    <t>TechNova Systems</t>
  </si>
  <si>
    <t>CoreByte Solutions</t>
  </si>
  <si>
    <t>VelocityTech Labs</t>
  </si>
  <si>
    <t>PlayForge Studios</t>
  </si>
  <si>
    <t>UrbanPlatter Hospitality</t>
  </si>
  <si>
    <t>FreshBite Foods</t>
  </si>
  <si>
    <t>Orion TradeCorp</t>
  </si>
  <si>
    <t>NovaEdge Solutions</t>
  </si>
  <si>
    <t>AquaLeaf Drinks</t>
  </si>
  <si>
    <t>Vikas Patil</t>
  </si>
  <si>
    <t>Administration Dept</t>
  </si>
  <si>
    <t>(Ctrl+D)</t>
  </si>
  <si>
    <t>Type</t>
  </si>
  <si>
    <t>Type (DD-MM-YYYY)</t>
  </si>
  <si>
    <t>Authorised By</t>
  </si>
  <si>
    <t>Received By</t>
  </si>
  <si>
    <t>Project / Department</t>
  </si>
  <si>
    <t>Requested By</t>
  </si>
  <si>
    <t>Jesika Mehta</t>
  </si>
  <si>
    <t>Rahul Deshmukh</t>
  </si>
  <si>
    <t>Neha Kulkarni</t>
  </si>
  <si>
    <t>Ankit Sharma</t>
  </si>
  <si>
    <t>Finance Dept</t>
  </si>
  <si>
    <t>Pooja Verma</t>
  </si>
  <si>
    <t>Amit Khanna</t>
  </si>
  <si>
    <t>Ritu Malhotra</t>
  </si>
  <si>
    <t>Sneha Iyer</t>
  </si>
  <si>
    <t>Human Resources</t>
  </si>
  <si>
    <t>Karan Shah</t>
  </si>
  <si>
    <t>Meenal Joshi</t>
  </si>
  <si>
    <t>Aakash Rao</t>
  </si>
  <si>
    <t>Rohit Kulkarni</t>
  </si>
  <si>
    <t>IT Operations</t>
  </si>
  <si>
    <t>Nidhi Agarwal</t>
  </si>
  <si>
    <t>Suresh Menon</t>
  </si>
  <si>
    <t>Kavita Nair</t>
  </si>
  <si>
    <t>Priya Deshpande</t>
  </si>
  <si>
    <t>Procurement Dept</t>
  </si>
  <si>
    <t>Manish Jain</t>
  </si>
  <si>
    <t>Alok Srivastava</t>
  </si>
  <si>
    <t>Shweta Pandey</t>
  </si>
  <si>
    <t>Drop-Down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</si>
</sst>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-\£* #,##0.00_-;&quot;-£&quot;* #,##0.00_-;_-\£* \-??_-;_-@_-"/>
    <numFmt numFmtId="165" formatCode="_ [$Rs.-4009]\ * #,##0.00_ ;_ [$Rs.-4009]\ * \-#,##0.00_ ;_ [$Rs.-4009]\ * \-??_ ;_ @_ "/>
  </numFmts>
  <fonts count="13" x14ac:knownFonts="1">
    <font>
      <sz val="10"/>
      <name val="Arial"/>
    </font>
    <font>
      <sz val="10"/>
      <name val="Arial"/>
      <family val="2"/>
    </font>
    <font>
      <sz val="12"/>
      <name val="Calibri"/>
      <family val="2"/>
    </font>
    <font>
      <b/>
      <u/>
      <sz val="12"/>
      <name val="Arial Narrow"/>
      <family val="2"/>
    </font>
    <font>
      <b/>
      <sz val="10"/>
      <name val="Arial Narrow"/>
      <family val="2"/>
    </font>
    <font>
      <sz val="10"/>
      <name val="Calibri"/>
      <family val="2"/>
    </font>
    <font>
      <b/>
      <sz val="10"/>
      <color indexed="9"/>
      <name val="Arial Narrow"/>
      <family val="2"/>
    </font>
    <font>
      <sz val="10"/>
      <name val="Arial"/>
      <family val="2"/>
    </font>
    <font>
      <sz val="10"/>
      <name val="Arial Narrow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6"/>
      <name val="Calibri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8"/>
        <bgColor indexed="58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3">
    <xf numFmtId="0" fontId="0" fillId="0" borderId="0"/>
    <xf numFmtId="43" fontId="1" fillId="0" borderId="0" applyFill="0" applyBorder="0" applyAlignment="0" applyProtection="0"/>
    <xf numFmtId="164" fontId="7" fillId="0" borderId="0" applyFill="0" applyBorder="0" applyAlignment="0" applyProtection="0"/>
  </cellStyleXfs>
  <cellXfs count="58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/>
    <xf numFmtId="0" fontId="4" fillId="2" borderId="0" xfId="0" applyFont="1" applyFill="1"/>
    <xf numFmtId="0" fontId="4" fillId="2" borderId="5" xfId="0" applyFont="1" applyFill="1" applyBorder="1"/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vertical="top" wrapText="1"/>
    </xf>
    <xf numFmtId="49" fontId="2" fillId="2" borderId="0" xfId="0" applyNumberFormat="1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4" fillId="2" borderId="2" xfId="0" applyFont="1" applyFill="1" applyBorder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vertical="top" wrapText="1"/>
    </xf>
    <xf numFmtId="49" fontId="4" fillId="2" borderId="0" xfId="0" applyNumberFormat="1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49" fontId="4" fillId="2" borderId="8" xfId="0" applyNumberFormat="1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 wrapText="1"/>
    </xf>
    <xf numFmtId="0" fontId="6" fillId="3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4" fillId="2" borderId="8" xfId="0" applyFont="1" applyFill="1" applyBorder="1" applyAlignment="1">
      <alignment vertical="top" wrapText="1"/>
    </xf>
    <xf numFmtId="165" fontId="4" fillId="2" borderId="10" xfId="2" applyNumberFormat="1" applyFont="1" applyFill="1" applyBorder="1" applyAlignment="1" applyProtection="1">
      <alignment horizontal="center" vertical="center" wrapText="1"/>
    </xf>
    <xf numFmtId="0" fontId="9" fillId="0" borderId="0" xfId="0" applyFont="1"/>
    <xf numFmtId="0" fontId="7" fillId="0" borderId="0" xfId="0" applyFont="1"/>
    <xf numFmtId="0" fontId="9" fillId="0" borderId="0" xfId="0" applyFont="1" applyAlignment="1">
      <alignment horizontal="center" vertical="center"/>
    </xf>
    <xf numFmtId="14" fontId="0" fillId="0" borderId="0" xfId="0" applyNumberFormat="1"/>
    <xf numFmtId="43" fontId="1" fillId="0" borderId="0" xfId="1"/>
    <xf numFmtId="0" fontId="4" fillId="2" borderId="11" xfId="0" applyFont="1" applyFill="1" applyBorder="1" applyAlignment="1">
      <alignment vertical="center"/>
    </xf>
    <xf numFmtId="0" fontId="11" fillId="2" borderId="12" xfId="0" applyFont="1" applyFill="1" applyBorder="1" applyAlignment="1">
      <alignment horizontal="left" vertical="center"/>
    </xf>
    <xf numFmtId="0" fontId="2" fillId="2" borderId="12" xfId="0" applyFont="1" applyFill="1" applyBorder="1"/>
    <xf numFmtId="0" fontId="2" fillId="2" borderId="12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/>
    </xf>
    <xf numFmtId="14" fontId="4" fillId="2" borderId="12" xfId="0" applyNumberFormat="1" applyFont="1" applyFill="1" applyBorder="1" applyAlignment="1">
      <alignment horizontal="center" vertical="center"/>
    </xf>
    <xf numFmtId="14" fontId="4" fillId="2" borderId="12" xfId="0" applyNumberFormat="1" applyFont="1" applyFill="1" applyBorder="1" applyAlignment="1">
      <alignment horizontal="left" vertical="center"/>
    </xf>
    <xf numFmtId="0" fontId="2" fillId="2" borderId="13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horizontal="left" vertical="center"/>
    </xf>
    <xf numFmtId="0" fontId="2" fillId="2" borderId="8" xfId="0" applyFont="1" applyFill="1" applyBorder="1"/>
    <xf numFmtId="0" fontId="4" fillId="2" borderId="2" xfId="0" quotePrefix="1" applyFont="1" applyFill="1" applyBorder="1"/>
    <xf numFmtId="0" fontId="1" fillId="0" borderId="0" xfId="0" applyFont="1"/>
    <xf numFmtId="14" fontId="1" fillId="0" borderId="0" xfId="0" applyNumberFormat="1" applyFont="1"/>
    <xf numFmtId="0" fontId="9" fillId="4" borderId="0" xfId="0" applyFont="1" applyFill="1" applyAlignment="1">
      <alignment horizontal="center" vertical="center"/>
    </xf>
    <xf numFmtId="43" fontId="9" fillId="4" borderId="0" xfId="1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43" fontId="9" fillId="5" borderId="0" xfId="1" applyFont="1" applyFill="1" applyAlignment="1">
      <alignment horizontal="center" vertical="center"/>
    </xf>
    <xf numFmtId="49" fontId="8" fillId="2" borderId="8" xfId="0" applyNumberFormat="1" applyFont="1" applyFill="1" applyBorder="1" applyAlignment="1">
      <alignment horizontal="center" vertical="top" wrapText="1"/>
    </xf>
    <xf numFmtId="49" fontId="4" fillId="2" borderId="8" xfId="0" applyNumberFormat="1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top" wrapText="1"/>
    </xf>
    <xf numFmtId="0" fontId="6" fillId="3" borderId="7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/>
    </xf>
  </cellXfs>
  <cellStyles count="3">
    <cellStyle name="Comma" xfId="1" builtinId="3"/>
    <cellStyle name="Currency" xfId="2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14</xdr:row>
      <xdr:rowOff>314325</xdr:rowOff>
    </xdr:from>
    <xdr:to>
      <xdr:col>7</xdr:col>
      <xdr:colOff>619125</xdr:colOff>
      <xdr:row>25</xdr:row>
      <xdr:rowOff>114300</xdr:rowOff>
    </xdr:to>
    <xdr:cxnSp macro="">
      <xdr:nvCxnSpPr>
        <xdr:cNvPr id="25071" name="Straight Arrow Connector 2">
          <a:extLst>
            <a:ext uri="{FF2B5EF4-FFF2-40B4-BE49-F238E27FC236}">
              <a16:creationId xmlns:a16="http://schemas.microsoft.com/office/drawing/2014/main" id="{00000000-0008-0000-0200-0000EF610000}"/>
            </a:ext>
          </a:extLst>
        </xdr:cNvPr>
        <xdr:cNvCxnSpPr>
          <a:cxnSpLocks noChangeShapeType="1"/>
        </xdr:cNvCxnSpPr>
      </xdr:nvCxnSpPr>
      <xdr:spPr bwMode="auto">
        <a:xfrm>
          <a:off x="619125" y="4219575"/>
          <a:ext cx="4972050" cy="2457450"/>
        </a:xfrm>
        <a:prstGeom prst="straightConnector1">
          <a:avLst/>
        </a:prstGeom>
        <a:noFill/>
        <a:ln w="9360" cap="sq">
          <a:solidFill>
            <a:srgbClr val="000000"/>
          </a:solidFill>
          <a:miter lim="800000"/>
          <a:headEnd/>
          <a:tailEnd type="arrow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45"/>
  <sheetViews>
    <sheetView showGridLines="0" showRowColHeaders="0" tabSelected="1" view="pageBreakPreview" zoomScaleNormal="100" zoomScaleSheetLayoutView="100" workbookViewId="0">
      <pane xSplit="13" ySplit="5" topLeftCell="XFD6" activePane="bottomRight" state="frozen"/>
      <selection pane="topRight" activeCell="N1" sqref="N1"/>
      <selection pane="bottomLeft" activeCell="A6" sqref="A6"/>
      <selection pane="bottomRight" activeCell="A46" sqref="A46:XFD1048576"/>
    </sheetView>
  </sheetViews>
  <sheetFormatPr defaultColWidth="0" defaultRowHeight="15.75" zeroHeight="1" x14ac:dyDescent="0.25"/>
  <cols>
    <col min="1" max="1" width="7" style="1" customWidth="1"/>
    <col min="2" max="2" width="14" style="1" customWidth="1"/>
    <col min="3" max="3" width="28.140625" style="1" customWidth="1"/>
    <col min="4" max="4" width="7.42578125" style="1" customWidth="1"/>
    <col min="5" max="5" width="2.140625" style="1" customWidth="1"/>
    <col min="6" max="6" width="9.28515625" style="1" customWidth="1"/>
    <col min="7" max="7" width="6.5703125" style="1" customWidth="1"/>
    <col min="8" max="8" width="14.140625" style="1" customWidth="1"/>
    <col min="9" max="9" width="19.7109375" style="1" customWidth="1"/>
    <col min="10" max="13" width="9.140625" style="1" customWidth="1"/>
    <col min="14" max="14" width="3.28515625" style="1" customWidth="1"/>
    <col min="15" max="16384" width="9.140625" style="1" hidden="1"/>
  </cols>
  <sheetData>
    <row r="1" spans="1:12" x14ac:dyDescent="0.25">
      <c r="A1" s="1" t="s">
        <v>29</v>
      </c>
    </row>
    <row r="2" spans="1:12" ht="9" customHeight="1" x14ac:dyDescent="0.25"/>
    <row r="3" spans="1:12" ht="21" customHeight="1" x14ac:dyDescent="0.25">
      <c r="A3" s="53" t="s">
        <v>0</v>
      </c>
      <c r="B3" s="53"/>
      <c r="C3" s="53"/>
      <c r="D3" s="53"/>
      <c r="E3" s="53"/>
      <c r="F3" s="53"/>
      <c r="G3" s="53"/>
      <c r="H3" s="53"/>
      <c r="I3" s="53"/>
    </row>
    <row r="4" spans="1:12" x14ac:dyDescent="0.25">
      <c r="E4" s="2"/>
      <c r="F4" s="2"/>
      <c r="G4" s="2"/>
      <c r="H4" s="2"/>
      <c r="I4" s="2"/>
      <c r="K4" s="42" t="s">
        <v>28</v>
      </c>
      <c r="L4" s="42">
        <v>11</v>
      </c>
    </row>
    <row r="5" spans="1:12" ht="39" customHeight="1" thickBot="1" x14ac:dyDescent="0.3">
      <c r="A5" s="57" t="str">
        <f>VLOOKUP($L$4,Data!A:C,3,0)</f>
        <v>UrbanDesk Workspaces</v>
      </c>
      <c r="B5" s="57"/>
      <c r="C5" s="57"/>
      <c r="E5" s="2"/>
      <c r="F5" s="2"/>
      <c r="G5" s="2"/>
      <c r="H5" s="2"/>
      <c r="I5" s="2"/>
    </row>
    <row r="6" spans="1:12" ht="39" customHeight="1" thickBot="1" x14ac:dyDescent="0.3">
      <c r="A6" s="33" t="s">
        <v>1</v>
      </c>
      <c r="B6" s="34"/>
      <c r="C6" s="41" t="str">
        <f>VLOOKUP($L$4,Data!A:D,4,0)</f>
        <v>Admin/PUNE/03/25-26/MAT-02</v>
      </c>
      <c r="D6" s="35"/>
      <c r="E6" s="36"/>
      <c r="F6" s="37" t="s">
        <v>2</v>
      </c>
      <c r="G6" s="38"/>
      <c r="H6" s="39">
        <f>VLOOKUP($L$4,Data!A:E,5,0)</f>
        <v>45810</v>
      </c>
      <c r="I6" s="40"/>
    </row>
    <row r="7" spans="1:12" s="3" customFormat="1" ht="33.75" customHeight="1" thickBot="1" x14ac:dyDescent="0.25">
      <c r="A7" s="4" t="s">
        <v>3</v>
      </c>
      <c r="B7" s="5"/>
      <c r="C7" s="6" t="str">
        <f>VLOOKUP($L$4,Data!A:F,6,0)</f>
        <v>Vikas Patil</v>
      </c>
      <c r="D7" s="5"/>
      <c r="E7" s="5"/>
      <c r="F7" s="5" t="s">
        <v>4</v>
      </c>
      <c r="G7" s="5"/>
      <c r="H7" s="54" t="str">
        <f>VLOOKUP($L$4,Data!A:G,7,0)</f>
        <v>Administration Dept</v>
      </c>
      <c r="I7" s="54"/>
    </row>
    <row r="8" spans="1:12" s="3" customFormat="1" ht="36.75" customHeight="1" thickBot="1" x14ac:dyDescent="0.25">
      <c r="A8" s="4" t="s">
        <v>5</v>
      </c>
      <c r="B8" s="5"/>
      <c r="C8" s="6" t="str">
        <f>VLOOKUP($L$4,Data!A:M,8,0)</f>
        <v>Jesika Mehta</v>
      </c>
      <c r="D8" s="5"/>
      <c r="E8" s="5"/>
      <c r="F8" s="5" t="s">
        <v>6</v>
      </c>
      <c r="G8" s="5"/>
      <c r="H8" s="5"/>
      <c r="I8" s="7"/>
    </row>
    <row r="9" spans="1:12" x14ac:dyDescent="0.25">
      <c r="A9" s="8" t="s">
        <v>7</v>
      </c>
      <c r="B9" s="9"/>
      <c r="C9" s="9"/>
      <c r="D9" s="9"/>
      <c r="E9" s="9"/>
      <c r="F9" s="9"/>
      <c r="G9" s="9"/>
      <c r="H9" s="9"/>
      <c r="I9" s="10"/>
    </row>
    <row r="10" spans="1:12" ht="17.100000000000001" customHeight="1" thickBot="1" x14ac:dyDescent="0.3">
      <c r="A10" s="55" t="str">
        <f>VLOOKUP($L$4,Data!A:N,13,0)</f>
        <v>NovaEdge Solutions HK Material Order month of June -2025</v>
      </c>
      <c r="B10" s="55"/>
      <c r="C10" s="55"/>
      <c r="D10" s="55"/>
      <c r="E10" s="55"/>
      <c r="F10" s="55"/>
      <c r="G10" s="55"/>
      <c r="H10" s="55"/>
      <c r="I10" s="55"/>
    </row>
    <row r="11" spans="1:12" ht="16.5" thickBot="1" x14ac:dyDescent="0.3">
      <c r="A11" s="55"/>
      <c r="B11" s="55"/>
      <c r="C11" s="55"/>
      <c r="D11" s="55"/>
      <c r="E11" s="55"/>
      <c r="F11" s="55"/>
      <c r="G11" s="55"/>
      <c r="H11" s="55"/>
      <c r="I11" s="55"/>
    </row>
    <row r="12" spans="1:12" ht="16.5" thickBot="1" x14ac:dyDescent="0.3">
      <c r="A12" s="55"/>
      <c r="B12" s="55"/>
      <c r="C12" s="55"/>
      <c r="D12" s="55"/>
      <c r="E12" s="55"/>
      <c r="F12" s="55"/>
      <c r="G12" s="55"/>
      <c r="H12" s="55"/>
      <c r="I12" s="55"/>
    </row>
    <row r="13" spans="1:12" ht="16.5" thickBot="1" x14ac:dyDescent="0.3">
      <c r="A13" s="55"/>
      <c r="B13" s="55"/>
      <c r="C13" s="55"/>
      <c r="D13" s="55"/>
      <c r="E13" s="55"/>
      <c r="F13" s="55"/>
      <c r="G13" s="55"/>
      <c r="H13" s="55"/>
      <c r="I13" s="55"/>
    </row>
    <row r="14" spans="1:12" x14ac:dyDescent="0.25"/>
    <row r="15" spans="1:12" ht="29.25" customHeight="1" x14ac:dyDescent="0.25">
      <c r="A15" s="11" t="s">
        <v>8</v>
      </c>
      <c r="B15" s="56" t="s">
        <v>9</v>
      </c>
      <c r="C15" s="56"/>
      <c r="D15" s="56" t="s">
        <v>10</v>
      </c>
      <c r="E15" s="56"/>
      <c r="F15" s="12" t="s">
        <v>11</v>
      </c>
      <c r="G15" s="12" t="s">
        <v>12</v>
      </c>
      <c r="H15" s="12" t="s">
        <v>13</v>
      </c>
      <c r="I15" s="24" t="s">
        <v>14</v>
      </c>
    </row>
    <row r="16" spans="1:12" ht="18" customHeight="1" x14ac:dyDescent="0.25">
      <c r="A16" s="25">
        <v>1</v>
      </c>
      <c r="B16" s="26"/>
      <c r="C16" s="26"/>
      <c r="D16" s="51"/>
      <c r="E16" s="51"/>
      <c r="F16" s="23"/>
      <c r="G16" s="22"/>
      <c r="H16" s="23"/>
      <c r="I16" s="23"/>
    </row>
    <row r="17" spans="1:9" ht="18" customHeight="1" x14ac:dyDescent="0.25">
      <c r="A17" s="25">
        <v>2</v>
      </c>
      <c r="B17" s="26"/>
      <c r="C17" s="26"/>
      <c r="D17" s="51"/>
      <c r="E17" s="51"/>
      <c r="F17" s="23"/>
      <c r="G17" s="22"/>
      <c r="H17" s="23"/>
      <c r="I17" s="23"/>
    </row>
    <row r="18" spans="1:9" ht="18" customHeight="1" x14ac:dyDescent="0.25">
      <c r="A18" s="25">
        <v>3</v>
      </c>
      <c r="B18" s="26"/>
      <c r="C18" s="26"/>
      <c r="D18" s="51"/>
      <c r="E18" s="51"/>
      <c r="F18" s="23"/>
      <c r="G18" s="22"/>
      <c r="H18" s="23"/>
      <c r="I18" s="23"/>
    </row>
    <row r="19" spans="1:9" ht="18" customHeight="1" x14ac:dyDescent="0.25">
      <c r="A19" s="25">
        <v>4</v>
      </c>
      <c r="B19" s="26"/>
      <c r="C19" s="26"/>
      <c r="D19" s="51"/>
      <c r="E19" s="51"/>
      <c r="F19" s="23"/>
      <c r="G19" s="22"/>
      <c r="H19" s="23"/>
      <c r="I19" s="23"/>
    </row>
    <row r="20" spans="1:9" ht="18" customHeight="1" x14ac:dyDescent="0.25">
      <c r="A20" s="25">
        <v>5</v>
      </c>
      <c r="B20" s="26"/>
      <c r="C20" s="26"/>
      <c r="D20" s="51"/>
      <c r="E20" s="51"/>
      <c r="F20" s="23"/>
      <c r="G20" s="22"/>
      <c r="H20" s="23"/>
      <c r="I20" s="23"/>
    </row>
    <row r="21" spans="1:9" ht="18" customHeight="1" x14ac:dyDescent="0.25">
      <c r="A21" s="25">
        <v>6</v>
      </c>
      <c r="B21" s="26"/>
      <c r="C21" s="26"/>
      <c r="D21" s="51"/>
      <c r="E21" s="51"/>
      <c r="F21" s="22"/>
      <c r="G21" s="22"/>
      <c r="H21" s="23"/>
      <c r="I21" s="23"/>
    </row>
    <row r="22" spans="1:9" ht="18" customHeight="1" x14ac:dyDescent="0.25">
      <c r="A22" s="25">
        <v>7</v>
      </c>
      <c r="B22" s="26"/>
      <c r="C22" s="26"/>
      <c r="D22" s="51"/>
      <c r="E22" s="51"/>
      <c r="F22" s="22"/>
      <c r="G22" s="22"/>
      <c r="H22" s="23"/>
      <c r="I22" s="23"/>
    </row>
    <row r="23" spans="1:9" ht="18" customHeight="1" x14ac:dyDescent="0.25">
      <c r="A23" s="25">
        <v>8</v>
      </c>
      <c r="B23" s="26"/>
      <c r="C23" s="26"/>
      <c r="D23" s="51"/>
      <c r="E23" s="51"/>
      <c r="F23" s="22"/>
      <c r="G23" s="22"/>
      <c r="H23" s="23"/>
      <c r="I23" s="23"/>
    </row>
    <row r="24" spans="1:9" ht="18" customHeight="1" x14ac:dyDescent="0.25">
      <c r="A24" s="25">
        <v>9</v>
      </c>
      <c r="B24" s="26"/>
      <c r="C24" s="26"/>
      <c r="D24" s="52"/>
      <c r="E24" s="52"/>
      <c r="F24" s="22"/>
      <c r="G24" s="22"/>
      <c r="H24" s="23"/>
      <c r="I24" s="23"/>
    </row>
    <row r="25" spans="1:9" ht="18" customHeight="1" x14ac:dyDescent="0.25">
      <c r="A25" s="25">
        <v>10</v>
      </c>
      <c r="B25" s="26"/>
      <c r="C25" s="26"/>
      <c r="D25" s="52"/>
      <c r="E25" s="52"/>
      <c r="F25" s="22"/>
      <c r="G25" s="22"/>
      <c r="H25" s="23"/>
      <c r="I25" s="23"/>
    </row>
    <row r="26" spans="1:9" ht="18" customHeight="1" x14ac:dyDescent="0.25">
      <c r="A26" s="25">
        <v>11</v>
      </c>
      <c r="B26" s="26"/>
      <c r="C26" s="26"/>
      <c r="D26" s="52"/>
      <c r="E26" s="52"/>
      <c r="F26" s="22"/>
      <c r="G26" s="22"/>
      <c r="H26" s="23"/>
      <c r="I26" s="23"/>
    </row>
    <row r="27" spans="1:9" ht="18" customHeight="1" thickBot="1" x14ac:dyDescent="0.3">
      <c r="A27" s="25"/>
      <c r="B27" s="26"/>
      <c r="C27" s="26"/>
      <c r="D27" s="52"/>
      <c r="E27" s="52"/>
      <c r="F27" s="22"/>
      <c r="G27" s="22"/>
      <c r="H27" s="23"/>
      <c r="I27" s="27">
        <f>VLOOKUP($L$4,Data!A:N,14,0)</f>
        <v>51826</v>
      </c>
    </row>
    <row r="28" spans="1:9" x14ac:dyDescent="0.25">
      <c r="A28" s="13"/>
      <c r="B28" s="14"/>
      <c r="C28" s="14"/>
      <c r="D28" s="15"/>
      <c r="E28" s="15"/>
      <c r="F28" s="15"/>
      <c r="G28" s="15"/>
      <c r="H28" s="16"/>
      <c r="I28" s="16"/>
    </row>
    <row r="29" spans="1:9" x14ac:dyDescent="0.25">
      <c r="A29" s="13"/>
      <c r="B29" s="14"/>
      <c r="C29" s="14"/>
      <c r="D29" s="15"/>
      <c r="E29" s="15"/>
      <c r="F29" s="15"/>
      <c r="G29" s="15"/>
      <c r="H29" s="16"/>
      <c r="I29" s="16"/>
    </row>
    <row r="30" spans="1:9" ht="16.5" thickBot="1" x14ac:dyDescent="0.3">
      <c r="A30" s="9" t="s">
        <v>15</v>
      </c>
      <c r="B30" s="9"/>
      <c r="C30" s="17" t="str">
        <f>C8</f>
        <v>Jesika Mehta</v>
      </c>
      <c r="D30" s="17"/>
      <c r="E30" s="9"/>
      <c r="F30" s="9" t="s">
        <v>16</v>
      </c>
      <c r="G30" s="17"/>
      <c r="H30" s="17"/>
      <c r="I30" s="17"/>
    </row>
    <row r="31" spans="1:9" x14ac:dyDescent="0.25">
      <c r="A31" s="18"/>
      <c r="B31" s="19"/>
      <c r="C31" s="19"/>
      <c r="D31" s="20"/>
      <c r="E31" s="20"/>
      <c r="F31" s="20"/>
      <c r="G31" s="20"/>
      <c r="H31" s="21"/>
      <c r="I31" s="21"/>
    </row>
    <row r="32" spans="1:9" ht="16.5" thickBot="1" x14ac:dyDescent="0.3">
      <c r="A32" s="9" t="s">
        <v>17</v>
      </c>
      <c r="B32" s="9"/>
      <c r="C32" s="17" t="str">
        <f>C7</f>
        <v>Vikas Patil</v>
      </c>
      <c r="D32" s="17"/>
      <c r="E32" s="9"/>
      <c r="F32" s="9" t="s">
        <v>16</v>
      </c>
      <c r="G32" s="17"/>
      <c r="H32" s="17"/>
      <c r="I32" s="17"/>
    </row>
    <row r="33" spans="1:9" x14ac:dyDescent="0.25">
      <c r="A33" s="9"/>
      <c r="B33" s="9"/>
      <c r="C33" s="9"/>
      <c r="D33" s="9"/>
      <c r="E33" s="9"/>
      <c r="F33" s="9"/>
      <c r="G33" s="9"/>
      <c r="H33" s="9"/>
      <c r="I33" s="9"/>
    </row>
    <row r="34" spans="1:9" ht="16.5" thickBot="1" x14ac:dyDescent="0.3">
      <c r="A34" s="9" t="s">
        <v>18</v>
      </c>
      <c r="B34" s="9"/>
      <c r="C34" s="43" t="str">
        <f>VLOOKUP($L$4,Data!A:I,9,0)</f>
        <v>Amit Khanna</v>
      </c>
      <c r="D34" s="17"/>
      <c r="E34" s="9"/>
      <c r="F34" s="9" t="s">
        <v>16</v>
      </c>
      <c r="G34" s="17"/>
      <c r="H34" s="17"/>
      <c r="I34" s="17"/>
    </row>
    <row r="35" spans="1:9" x14ac:dyDescent="0.25">
      <c r="A35" s="9"/>
      <c r="B35" s="9"/>
      <c r="C35" s="9"/>
      <c r="D35" s="9"/>
      <c r="E35" s="9"/>
      <c r="F35" s="9"/>
      <c r="G35" s="9"/>
      <c r="H35" s="9"/>
      <c r="I35" s="9"/>
    </row>
    <row r="36" spans="1:9" ht="16.5" thickBot="1" x14ac:dyDescent="0.3">
      <c r="A36" s="9" t="s">
        <v>19</v>
      </c>
      <c r="B36" s="9"/>
      <c r="C36" s="17" t="str">
        <f>VLOOKUP($L$4,Data!A:J,10,0)</f>
        <v>Aakash Rao</v>
      </c>
      <c r="D36" s="17"/>
      <c r="E36" s="9"/>
      <c r="F36" s="9" t="s">
        <v>16</v>
      </c>
      <c r="G36" s="17"/>
      <c r="H36" s="17"/>
      <c r="I36" s="17"/>
    </row>
    <row r="37" spans="1:9" x14ac:dyDescent="0.25"/>
    <row r="38" spans="1:9" x14ac:dyDescent="0.25"/>
    <row r="39" spans="1:9" x14ac:dyDescent="0.25"/>
    <row r="40" spans="1:9" x14ac:dyDescent="0.25"/>
    <row r="41" spans="1:9" x14ac:dyDescent="0.25"/>
    <row r="42" spans="1:9" x14ac:dyDescent="0.25"/>
    <row r="43" spans="1:9" x14ac:dyDescent="0.25"/>
    <row r="44" spans="1:9" x14ac:dyDescent="0.25"/>
    <row r="45" spans="1:9" x14ac:dyDescent="0.25"/>
  </sheetData>
  <sheetProtection selectLockedCells="1" selectUnlockedCells="1"/>
  <mergeCells count="18">
    <mergeCell ref="D19:E19"/>
    <mergeCell ref="A3:I3"/>
    <mergeCell ref="H7:I7"/>
    <mergeCell ref="A10:I13"/>
    <mergeCell ref="B15:C15"/>
    <mergeCell ref="D15:E15"/>
    <mergeCell ref="D16:E16"/>
    <mergeCell ref="A5:C5"/>
    <mergeCell ref="D17:E17"/>
    <mergeCell ref="D18:E18"/>
    <mergeCell ref="D20:E20"/>
    <mergeCell ref="D21:E21"/>
    <mergeCell ref="D22:E22"/>
    <mergeCell ref="D26:E26"/>
    <mergeCell ref="D27:E27"/>
    <mergeCell ref="D23:E23"/>
    <mergeCell ref="D24:E24"/>
    <mergeCell ref="D25:E25"/>
  </mergeCells>
  <pageMargins left="0.55118110236220474" right="0.74803149606299213" top="1.2204724409448819" bottom="1.3779527559055118" header="0.51181102362204722" footer="0.51181102362204722"/>
  <pageSetup paperSize="9" scale="80" firstPageNumber="0" orientation="portrait" r:id="rId1"/>
  <headerFooter alignWithMargins="0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Data!$A:$A</xm:f>
          </x14:formula1>
          <xm:sqref>L4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0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15" sqref="C115"/>
    </sheetView>
  </sheetViews>
  <sheetFormatPr defaultColWidth="0" defaultRowHeight="12.75" x14ac:dyDescent="0.2"/>
  <cols>
    <col min="1" max="1" width="8.140625" bestFit="1" customWidth="1"/>
    <col min="2" max="2" width="25.140625" bestFit="1" customWidth="1"/>
    <col min="3" max="3" width="21.5703125" bestFit="1" customWidth="1"/>
    <col min="4" max="4" width="27.28515625" bestFit="1" customWidth="1"/>
    <col min="5" max="5" width="18.85546875" bestFit="1" customWidth="1"/>
    <col min="6" max="6" width="27.5703125" bestFit="1" customWidth="1"/>
    <col min="7" max="7" width="25.5703125" bestFit="1" customWidth="1"/>
    <col min="8" max="8" width="19.7109375" bestFit="1" customWidth="1"/>
    <col min="9" max="9" width="19.85546875" bestFit="1" customWidth="1"/>
    <col min="10" max="10" width="18.5703125" bestFit="1" customWidth="1"/>
    <col min="11" max="11" width="19.28515625" bestFit="1" customWidth="1"/>
    <col min="12" max="12" width="16.7109375" bestFit="1" customWidth="1"/>
    <col min="13" max="13" width="63.140625" bestFit="1" customWidth="1"/>
    <col min="14" max="14" width="11.28515625" style="32" bestFit="1" customWidth="1"/>
    <col min="15" max="15" width="9.140625" hidden="1" customWidth="1"/>
    <col min="16" max="19" width="9.140625" hidden="1"/>
  </cols>
  <sheetData>
    <row r="1" spans="1:14" x14ac:dyDescent="0.2">
      <c r="A1" s="46" t="s">
        <v>96</v>
      </c>
      <c r="B1" s="46" t="s">
        <v>96</v>
      </c>
      <c r="C1" s="46" t="s">
        <v>126</v>
      </c>
      <c r="D1" s="46" t="s">
        <v>97</v>
      </c>
      <c r="E1" s="46" t="s">
        <v>98</v>
      </c>
      <c r="F1" s="46" t="s">
        <v>126</v>
      </c>
      <c r="G1" s="46" t="s">
        <v>126</v>
      </c>
      <c r="H1" s="46" t="s">
        <v>126</v>
      </c>
      <c r="I1" s="46" t="s">
        <v>126</v>
      </c>
      <c r="J1" s="46" t="s">
        <v>126</v>
      </c>
      <c r="K1" s="46" t="s">
        <v>126</v>
      </c>
      <c r="L1" s="46" t="s">
        <v>126</v>
      </c>
      <c r="M1" s="46" t="s">
        <v>96</v>
      </c>
      <c r="N1" s="47" t="s">
        <v>97</v>
      </c>
    </row>
    <row r="2" spans="1:14" s="30" customFormat="1" ht="22.5" customHeight="1" x14ac:dyDescent="0.2">
      <c r="A2" s="48" t="s">
        <v>27</v>
      </c>
      <c r="B2" s="48" t="s">
        <v>37</v>
      </c>
      <c r="C2" s="49" t="s">
        <v>20</v>
      </c>
      <c r="D2" s="49" t="s">
        <v>22</v>
      </c>
      <c r="E2" s="49" t="s">
        <v>21</v>
      </c>
      <c r="F2" s="49" t="s">
        <v>23</v>
      </c>
      <c r="G2" s="49" t="s">
        <v>24</v>
      </c>
      <c r="H2" s="49" t="s">
        <v>25</v>
      </c>
      <c r="I2" s="49" t="s">
        <v>99</v>
      </c>
      <c r="J2" s="49" t="s">
        <v>100</v>
      </c>
      <c r="K2" s="49" t="s">
        <v>32</v>
      </c>
      <c r="L2" s="49" t="s">
        <v>33</v>
      </c>
      <c r="M2" s="49" t="s">
        <v>26</v>
      </c>
      <c r="N2" s="50" t="s">
        <v>14</v>
      </c>
    </row>
    <row r="3" spans="1:14" x14ac:dyDescent="0.2">
      <c r="A3">
        <f t="shared" ref="A3:A66" si="0">ROW()-1</f>
        <v>2</v>
      </c>
      <c r="B3" t="str">
        <f>IF(COUNTIFS(C:C,C3,D:D,D3)&gt;1,"Its Duplicate","No")</f>
        <v>No</v>
      </c>
      <c r="C3" t="s">
        <v>75</v>
      </c>
      <c r="D3" t="s">
        <v>30</v>
      </c>
      <c r="E3" s="31">
        <v>45818</v>
      </c>
      <c r="F3" s="44" t="s">
        <v>94</v>
      </c>
      <c r="G3" s="44" t="s">
        <v>95</v>
      </c>
      <c r="H3" s="44" t="s">
        <v>103</v>
      </c>
      <c r="I3" s="44" t="s">
        <v>109</v>
      </c>
      <c r="J3" s="44" t="s">
        <v>115</v>
      </c>
      <c r="K3" s="29" t="s">
        <v>91</v>
      </c>
      <c r="L3" s="29" t="s">
        <v>68</v>
      </c>
      <c r="M3" t="str">
        <f>IFERROR(IF(OR(E3="",K3="",L3=""),"",
K3&amp;" "&amp;L3&amp;" Order month of "&amp;TEXT(E3,"mmmm -yyyy"))," ")</f>
        <v>Orion TradeCorp Coffee Material Order month of June -2025</v>
      </c>
      <c r="N3" s="32">
        <v>19851</v>
      </c>
    </row>
    <row r="4" spans="1:14" x14ac:dyDescent="0.2">
      <c r="A4">
        <f t="shared" si="0"/>
        <v>3</v>
      </c>
      <c r="B4" t="str">
        <f t="shared" ref="B4:B67" si="1">IF(COUNTIFS(C:C,C4,D:D,D4)&gt;1,"Its Duplicate","No")</f>
        <v>No</v>
      </c>
      <c r="C4" t="s">
        <v>70</v>
      </c>
      <c r="D4" t="s">
        <v>30</v>
      </c>
      <c r="E4" s="31">
        <v>45818</v>
      </c>
      <c r="F4" s="44" t="s">
        <v>94</v>
      </c>
      <c r="G4" s="44" t="s">
        <v>95</v>
      </c>
      <c r="H4" s="44" t="s">
        <v>103</v>
      </c>
      <c r="I4" s="44" t="s">
        <v>109</v>
      </c>
      <c r="J4" s="44" t="s">
        <v>115</v>
      </c>
      <c r="K4" s="29" t="s">
        <v>92</v>
      </c>
      <c r="L4" t="s">
        <v>34</v>
      </c>
      <c r="M4" t="str">
        <f t="shared" ref="M4:M67" si="2">IFERROR(IF(OR(E4="",K4="",L4=""),"",
K4&amp;" "&amp;L4&amp;" Order month of "&amp;TEXT(E4,"mmmm -yyyy"))," ")</f>
        <v>NovaEdge Solutions HK Material Order month of June -2025</v>
      </c>
      <c r="N4" s="32">
        <v>12210</v>
      </c>
    </row>
    <row r="5" spans="1:14" x14ac:dyDescent="0.2">
      <c r="A5">
        <f t="shared" si="0"/>
        <v>4</v>
      </c>
      <c r="B5" t="str">
        <f t="shared" si="1"/>
        <v>No</v>
      </c>
      <c r="C5" t="s">
        <v>70</v>
      </c>
      <c r="D5" t="s">
        <v>36</v>
      </c>
      <c r="E5" s="31">
        <v>45818</v>
      </c>
      <c r="F5" s="44" t="s">
        <v>94</v>
      </c>
      <c r="G5" s="44" t="s">
        <v>95</v>
      </c>
      <c r="H5" s="44" t="s">
        <v>103</v>
      </c>
      <c r="I5" s="44" t="s">
        <v>109</v>
      </c>
      <c r="J5" s="44" t="s">
        <v>115</v>
      </c>
      <c r="K5" s="44" t="s">
        <v>92</v>
      </c>
      <c r="L5" t="s">
        <v>35</v>
      </c>
      <c r="M5" t="str">
        <f t="shared" si="2"/>
        <v>NovaEdge Solutions Stationery Material Order month of June -2025</v>
      </c>
      <c r="N5" s="32">
        <v>670</v>
      </c>
    </row>
    <row r="6" spans="1:14" x14ac:dyDescent="0.2">
      <c r="A6">
        <f t="shared" si="0"/>
        <v>5</v>
      </c>
      <c r="B6" t="str">
        <f t="shared" si="1"/>
        <v>Its Duplicate</v>
      </c>
      <c r="C6" t="s">
        <v>72</v>
      </c>
      <c r="D6" s="29" t="s">
        <v>30</v>
      </c>
      <c r="E6" s="31">
        <v>45818</v>
      </c>
      <c r="F6" s="44" t="s">
        <v>94</v>
      </c>
      <c r="G6" s="44" t="s">
        <v>95</v>
      </c>
      <c r="H6" s="44" t="s">
        <v>103</v>
      </c>
      <c r="I6" s="44" t="s">
        <v>109</v>
      </c>
      <c r="J6" s="44" t="s">
        <v>115</v>
      </c>
      <c r="K6" s="29" t="s">
        <v>92</v>
      </c>
      <c r="L6" t="s">
        <v>35</v>
      </c>
      <c r="M6" t="str">
        <f t="shared" si="2"/>
        <v>NovaEdge Solutions Stationery Material Order month of June -2025</v>
      </c>
      <c r="N6" s="32">
        <v>8834.7000000000007</v>
      </c>
    </row>
    <row r="7" spans="1:14" x14ac:dyDescent="0.2">
      <c r="A7">
        <f t="shared" si="0"/>
        <v>6</v>
      </c>
      <c r="B7" t="str">
        <f t="shared" si="1"/>
        <v>No</v>
      </c>
      <c r="C7" t="s">
        <v>80</v>
      </c>
      <c r="D7" s="29" t="s">
        <v>30</v>
      </c>
      <c r="E7" s="31">
        <v>45818</v>
      </c>
      <c r="F7" s="44" t="s">
        <v>94</v>
      </c>
      <c r="G7" s="44" t="s">
        <v>95</v>
      </c>
      <c r="H7" s="44" t="s">
        <v>103</v>
      </c>
      <c r="I7" s="44" t="s">
        <v>109</v>
      </c>
      <c r="J7" s="44" t="s">
        <v>115</v>
      </c>
      <c r="K7" s="29" t="s">
        <v>92</v>
      </c>
      <c r="L7" t="s">
        <v>35</v>
      </c>
      <c r="M7" t="str">
        <f t="shared" si="2"/>
        <v>NovaEdge Solutions Stationery Material Order month of June -2025</v>
      </c>
      <c r="N7" s="32">
        <v>1708</v>
      </c>
    </row>
    <row r="8" spans="1:14" x14ac:dyDescent="0.2">
      <c r="A8">
        <f t="shared" si="0"/>
        <v>7</v>
      </c>
      <c r="B8" t="str">
        <f t="shared" si="1"/>
        <v>Its Duplicate</v>
      </c>
      <c r="C8" t="s">
        <v>72</v>
      </c>
      <c r="D8" s="29" t="s">
        <v>30</v>
      </c>
      <c r="E8" s="31">
        <v>45818</v>
      </c>
      <c r="F8" s="44" t="s">
        <v>94</v>
      </c>
      <c r="G8" s="44" t="s">
        <v>95</v>
      </c>
      <c r="H8" s="44" t="s">
        <v>103</v>
      </c>
      <c r="I8" s="44" t="s">
        <v>109</v>
      </c>
      <c r="J8" s="44" t="s">
        <v>115</v>
      </c>
      <c r="K8" s="29" t="s">
        <v>92</v>
      </c>
      <c r="L8" t="s">
        <v>34</v>
      </c>
      <c r="M8" t="str">
        <f t="shared" si="2"/>
        <v>NovaEdge Solutions HK Material Order month of June -2025</v>
      </c>
      <c r="N8" s="32">
        <v>5406</v>
      </c>
    </row>
    <row r="9" spans="1:14" x14ac:dyDescent="0.2">
      <c r="A9">
        <f t="shared" si="0"/>
        <v>8</v>
      </c>
      <c r="B9" t="str">
        <f t="shared" si="1"/>
        <v>No</v>
      </c>
      <c r="C9" t="s">
        <v>73</v>
      </c>
      <c r="D9" s="29" t="s">
        <v>30</v>
      </c>
      <c r="E9" s="31">
        <v>45814</v>
      </c>
      <c r="F9" s="44" t="s">
        <v>94</v>
      </c>
      <c r="G9" s="44" t="s">
        <v>95</v>
      </c>
      <c r="H9" s="44" t="s">
        <v>103</v>
      </c>
      <c r="I9" s="44" t="s">
        <v>109</v>
      </c>
      <c r="J9" s="44" t="s">
        <v>115</v>
      </c>
      <c r="K9" s="29" t="s">
        <v>92</v>
      </c>
      <c r="L9" t="s">
        <v>34</v>
      </c>
      <c r="M9" t="str">
        <f t="shared" si="2"/>
        <v>NovaEdge Solutions HK Material Order month of June -2025</v>
      </c>
      <c r="N9" s="32">
        <v>3640</v>
      </c>
    </row>
    <row r="10" spans="1:14" x14ac:dyDescent="0.2">
      <c r="A10">
        <f t="shared" si="0"/>
        <v>9</v>
      </c>
      <c r="B10" t="str">
        <f t="shared" si="1"/>
        <v>No</v>
      </c>
      <c r="C10" t="s">
        <v>77</v>
      </c>
      <c r="D10" s="29" t="s">
        <v>30</v>
      </c>
      <c r="E10" s="31">
        <v>45814</v>
      </c>
      <c r="F10" s="44" t="s">
        <v>94</v>
      </c>
      <c r="G10" s="44" t="s">
        <v>95</v>
      </c>
      <c r="H10" s="44" t="s">
        <v>103</v>
      </c>
      <c r="I10" s="44" t="s">
        <v>109</v>
      </c>
      <c r="J10" s="44" t="s">
        <v>115</v>
      </c>
      <c r="K10" s="29" t="s">
        <v>92</v>
      </c>
      <c r="L10" t="s">
        <v>35</v>
      </c>
      <c r="M10" t="str">
        <f t="shared" si="2"/>
        <v>NovaEdge Solutions Stationery Material Order month of June -2025</v>
      </c>
      <c r="N10" s="32">
        <v>5709</v>
      </c>
    </row>
    <row r="11" spans="1:14" x14ac:dyDescent="0.2">
      <c r="A11">
        <f t="shared" si="0"/>
        <v>10</v>
      </c>
      <c r="B11" t="str">
        <f t="shared" si="1"/>
        <v>No</v>
      </c>
      <c r="C11" t="s">
        <v>80</v>
      </c>
      <c r="D11" s="29" t="s">
        <v>36</v>
      </c>
      <c r="E11" s="31">
        <v>45810</v>
      </c>
      <c r="F11" s="44" t="s">
        <v>94</v>
      </c>
      <c r="G11" s="44" t="s">
        <v>95</v>
      </c>
      <c r="H11" s="44" t="s">
        <v>103</v>
      </c>
      <c r="I11" s="44" t="s">
        <v>109</v>
      </c>
      <c r="J11" s="44" t="s">
        <v>115</v>
      </c>
      <c r="K11" s="29" t="s">
        <v>92</v>
      </c>
      <c r="L11" t="s">
        <v>34</v>
      </c>
      <c r="M11" t="str">
        <f t="shared" si="2"/>
        <v>NovaEdge Solutions HK Material Order month of June -2025</v>
      </c>
      <c r="N11" s="32">
        <v>2164</v>
      </c>
    </row>
    <row r="12" spans="1:14" x14ac:dyDescent="0.2">
      <c r="A12">
        <f t="shared" si="0"/>
        <v>11</v>
      </c>
      <c r="B12" t="str">
        <f t="shared" si="1"/>
        <v>No</v>
      </c>
      <c r="C12" t="s">
        <v>75</v>
      </c>
      <c r="D12" s="29" t="s">
        <v>36</v>
      </c>
      <c r="E12" s="31">
        <v>45810</v>
      </c>
      <c r="F12" s="44" t="s">
        <v>94</v>
      </c>
      <c r="G12" s="44" t="s">
        <v>95</v>
      </c>
      <c r="H12" s="44" t="s">
        <v>103</v>
      </c>
      <c r="I12" s="44" t="s">
        <v>109</v>
      </c>
      <c r="J12" s="44" t="s">
        <v>115</v>
      </c>
      <c r="K12" s="29" t="s">
        <v>92</v>
      </c>
      <c r="L12" t="s">
        <v>34</v>
      </c>
      <c r="M12" t="str">
        <f t="shared" si="2"/>
        <v>NovaEdge Solutions HK Material Order month of June -2025</v>
      </c>
      <c r="N12" s="32">
        <v>51826</v>
      </c>
    </row>
    <row r="13" spans="1:14" x14ac:dyDescent="0.2">
      <c r="A13">
        <f t="shared" si="0"/>
        <v>12</v>
      </c>
      <c r="B13" t="str">
        <f t="shared" si="1"/>
        <v>No</v>
      </c>
      <c r="C13" t="s">
        <v>75</v>
      </c>
      <c r="D13" s="29" t="s">
        <v>38</v>
      </c>
      <c r="E13" s="31">
        <v>45814</v>
      </c>
      <c r="F13" s="44" t="s">
        <v>94</v>
      </c>
      <c r="G13" s="44" t="s">
        <v>95</v>
      </c>
      <c r="H13" s="44" t="s">
        <v>103</v>
      </c>
      <c r="I13" s="44" t="s">
        <v>109</v>
      </c>
      <c r="J13" s="44" t="s">
        <v>115</v>
      </c>
      <c r="K13" s="29" t="s">
        <v>92</v>
      </c>
      <c r="L13" t="s">
        <v>35</v>
      </c>
      <c r="M13" t="str">
        <f t="shared" si="2"/>
        <v>NovaEdge Solutions Stationery Material Order month of June -2025</v>
      </c>
      <c r="N13" s="32">
        <v>9169</v>
      </c>
    </row>
    <row r="14" spans="1:14" x14ac:dyDescent="0.2">
      <c r="A14">
        <f t="shared" si="0"/>
        <v>13</v>
      </c>
      <c r="B14" t="str">
        <f t="shared" si="1"/>
        <v>No</v>
      </c>
      <c r="C14" t="s">
        <v>83</v>
      </c>
      <c r="D14" s="29" t="s">
        <v>30</v>
      </c>
      <c r="E14" s="31">
        <v>45814</v>
      </c>
      <c r="F14" s="44" t="s">
        <v>94</v>
      </c>
      <c r="G14" s="44" t="s">
        <v>95</v>
      </c>
      <c r="H14" s="44" t="s">
        <v>103</v>
      </c>
      <c r="I14" s="44" t="s">
        <v>109</v>
      </c>
      <c r="J14" s="44" t="s">
        <v>115</v>
      </c>
      <c r="K14" s="29" t="s">
        <v>92</v>
      </c>
      <c r="L14" s="29" t="s">
        <v>34</v>
      </c>
      <c r="M14" t="str">
        <f t="shared" si="2"/>
        <v>NovaEdge Solutions HK Material Order month of June -2025</v>
      </c>
      <c r="N14" s="32">
        <v>45497</v>
      </c>
    </row>
    <row r="15" spans="1:14" x14ac:dyDescent="0.2">
      <c r="A15">
        <f t="shared" si="0"/>
        <v>14</v>
      </c>
      <c r="B15" t="str">
        <f t="shared" si="1"/>
        <v>No</v>
      </c>
      <c r="C15" t="s">
        <v>83</v>
      </c>
      <c r="D15" s="29" t="s">
        <v>36</v>
      </c>
      <c r="E15" s="31">
        <v>45814</v>
      </c>
      <c r="F15" s="44" t="s">
        <v>94</v>
      </c>
      <c r="G15" s="44" t="s">
        <v>95</v>
      </c>
      <c r="H15" s="44" t="s">
        <v>103</v>
      </c>
      <c r="I15" s="44" t="s">
        <v>109</v>
      </c>
      <c r="J15" s="44" t="s">
        <v>115</v>
      </c>
      <c r="K15" s="29" t="s">
        <v>92</v>
      </c>
      <c r="L15" s="29" t="s">
        <v>35</v>
      </c>
      <c r="M15" t="str">
        <f t="shared" si="2"/>
        <v>NovaEdge Solutions Stationery Material Order month of June -2025</v>
      </c>
      <c r="N15" s="32">
        <v>8286.5</v>
      </c>
    </row>
    <row r="16" spans="1:14" x14ac:dyDescent="0.2">
      <c r="A16">
        <f t="shared" si="0"/>
        <v>15</v>
      </c>
      <c r="B16" t="str">
        <f t="shared" si="1"/>
        <v>No</v>
      </c>
      <c r="C16" t="s">
        <v>83</v>
      </c>
      <c r="D16" s="29" t="s">
        <v>38</v>
      </c>
      <c r="E16" s="31">
        <v>45814</v>
      </c>
      <c r="F16" s="44" t="s">
        <v>94</v>
      </c>
      <c r="G16" s="44" t="s">
        <v>95</v>
      </c>
      <c r="H16" s="44" t="s">
        <v>103</v>
      </c>
      <c r="I16" s="44" t="s">
        <v>109</v>
      </c>
      <c r="J16" s="44" t="s">
        <v>115</v>
      </c>
      <c r="K16" s="29" t="s">
        <v>92</v>
      </c>
      <c r="L16" s="29" t="s">
        <v>68</v>
      </c>
      <c r="M16" t="str">
        <f t="shared" si="2"/>
        <v>NovaEdge Solutions Coffee Material Order month of June -2025</v>
      </c>
      <c r="N16" s="32">
        <v>19851</v>
      </c>
    </row>
    <row r="17" spans="1:14" x14ac:dyDescent="0.2">
      <c r="A17">
        <f t="shared" si="0"/>
        <v>16</v>
      </c>
      <c r="B17" t="str">
        <f t="shared" si="1"/>
        <v>No</v>
      </c>
      <c r="C17" t="s">
        <v>70</v>
      </c>
      <c r="D17" s="29" t="s">
        <v>38</v>
      </c>
      <c r="E17" s="31">
        <v>45814</v>
      </c>
      <c r="F17" s="44" t="s">
        <v>94</v>
      </c>
      <c r="G17" s="44" t="s">
        <v>95</v>
      </c>
      <c r="H17" s="44" t="s">
        <v>103</v>
      </c>
      <c r="I17" s="44" t="s">
        <v>109</v>
      </c>
      <c r="J17" s="44" t="s">
        <v>115</v>
      </c>
      <c r="K17" s="29" t="s">
        <v>92</v>
      </c>
      <c r="L17" s="29" t="s">
        <v>68</v>
      </c>
      <c r="M17" t="str">
        <f t="shared" si="2"/>
        <v>NovaEdge Solutions Coffee Material Order month of June -2025</v>
      </c>
      <c r="N17" s="32">
        <v>5216.24</v>
      </c>
    </row>
    <row r="18" spans="1:14" x14ac:dyDescent="0.2">
      <c r="A18">
        <f t="shared" si="0"/>
        <v>17</v>
      </c>
      <c r="B18" t="str">
        <f t="shared" si="1"/>
        <v>No</v>
      </c>
      <c r="C18" t="s">
        <v>70</v>
      </c>
      <c r="D18" s="29" t="s">
        <v>39</v>
      </c>
      <c r="E18" s="31">
        <v>45840</v>
      </c>
      <c r="F18" s="44" t="s">
        <v>94</v>
      </c>
      <c r="G18" s="44" t="s">
        <v>95</v>
      </c>
      <c r="H18" s="44" t="s">
        <v>103</v>
      </c>
      <c r="I18" s="44" t="s">
        <v>109</v>
      </c>
      <c r="J18" s="44" t="s">
        <v>115</v>
      </c>
      <c r="K18" s="29" t="s">
        <v>92</v>
      </c>
      <c r="L18" t="s">
        <v>35</v>
      </c>
      <c r="M18" t="str">
        <f t="shared" si="2"/>
        <v>NovaEdge Solutions Stationery Material Order month of July -2025</v>
      </c>
      <c r="N18" s="32">
        <v>1140</v>
      </c>
    </row>
    <row r="19" spans="1:14" x14ac:dyDescent="0.2">
      <c r="A19">
        <f t="shared" si="0"/>
        <v>18</v>
      </c>
      <c r="B19" t="str">
        <f t="shared" si="1"/>
        <v>No</v>
      </c>
      <c r="C19" t="s">
        <v>70</v>
      </c>
      <c r="D19" s="29" t="s">
        <v>40</v>
      </c>
      <c r="E19" s="31">
        <v>45840</v>
      </c>
      <c r="F19" s="44" t="s">
        <v>94</v>
      </c>
      <c r="G19" s="44" t="s">
        <v>95</v>
      </c>
      <c r="H19" s="44" t="s">
        <v>103</v>
      </c>
      <c r="I19" s="44" t="s">
        <v>109</v>
      </c>
      <c r="J19" s="44" t="s">
        <v>115</v>
      </c>
      <c r="K19" s="29" t="s">
        <v>92</v>
      </c>
      <c r="L19" s="29" t="s">
        <v>34</v>
      </c>
      <c r="M19" t="str">
        <f t="shared" si="2"/>
        <v>NovaEdge Solutions HK Material Order month of July -2025</v>
      </c>
      <c r="N19" s="32">
        <v>29091</v>
      </c>
    </row>
    <row r="20" spans="1:14" x14ac:dyDescent="0.2">
      <c r="A20">
        <f t="shared" si="0"/>
        <v>19</v>
      </c>
      <c r="B20" t="str">
        <f t="shared" si="1"/>
        <v>No</v>
      </c>
      <c r="C20" t="s">
        <v>70</v>
      </c>
      <c r="D20" s="29" t="s">
        <v>41</v>
      </c>
      <c r="E20" s="31">
        <v>45842</v>
      </c>
      <c r="F20" s="44" t="s">
        <v>94</v>
      </c>
      <c r="G20" s="44" t="s">
        <v>95</v>
      </c>
      <c r="H20" s="44" t="s">
        <v>103</v>
      </c>
      <c r="I20" s="44" t="s">
        <v>109</v>
      </c>
      <c r="J20" s="44" t="s">
        <v>115</v>
      </c>
      <c r="K20" s="29" t="s">
        <v>92</v>
      </c>
      <c r="L20" s="29" t="s">
        <v>68</v>
      </c>
      <c r="M20" t="str">
        <f t="shared" si="2"/>
        <v>NovaEdge Solutions Coffee Material Order month of July -2025</v>
      </c>
      <c r="N20" s="32">
        <v>3046.24</v>
      </c>
    </row>
    <row r="21" spans="1:14" x14ac:dyDescent="0.2">
      <c r="A21">
        <f t="shared" si="0"/>
        <v>20</v>
      </c>
      <c r="B21" t="str">
        <f t="shared" si="1"/>
        <v>No</v>
      </c>
      <c r="C21" t="s">
        <v>82</v>
      </c>
      <c r="D21" t="s">
        <v>31</v>
      </c>
      <c r="E21" s="31">
        <v>45842</v>
      </c>
      <c r="F21" s="44" t="s">
        <v>94</v>
      </c>
      <c r="G21" s="44" t="s">
        <v>95</v>
      </c>
      <c r="H21" s="44" t="s">
        <v>103</v>
      </c>
      <c r="I21" s="44" t="s">
        <v>109</v>
      </c>
      <c r="J21" s="44" t="s">
        <v>115</v>
      </c>
      <c r="K21" s="29" t="s">
        <v>91</v>
      </c>
      <c r="L21" s="29" t="s">
        <v>68</v>
      </c>
      <c r="M21" t="str">
        <f t="shared" si="2"/>
        <v>Orion TradeCorp Coffee Material Order month of July -2025</v>
      </c>
      <c r="N21" s="32">
        <v>4925.72</v>
      </c>
    </row>
    <row r="22" spans="1:14" x14ac:dyDescent="0.2">
      <c r="A22">
        <f t="shared" si="0"/>
        <v>21</v>
      </c>
      <c r="B22" t="str">
        <f t="shared" si="1"/>
        <v>No</v>
      </c>
      <c r="C22" t="s">
        <v>83</v>
      </c>
      <c r="D22" s="29" t="s">
        <v>39</v>
      </c>
      <c r="E22" s="31">
        <v>45840</v>
      </c>
      <c r="F22" s="44" t="s">
        <v>94</v>
      </c>
      <c r="G22" s="44" t="s">
        <v>95</v>
      </c>
      <c r="H22" s="44" t="s">
        <v>103</v>
      </c>
      <c r="I22" s="44" t="s">
        <v>109</v>
      </c>
      <c r="J22" s="44" t="s">
        <v>115</v>
      </c>
      <c r="K22" s="29" t="s">
        <v>93</v>
      </c>
      <c r="L22" s="29" t="s">
        <v>68</v>
      </c>
      <c r="M22" t="str">
        <f t="shared" si="2"/>
        <v>AquaLeaf Drinks Coffee Material Order month of July -2025</v>
      </c>
      <c r="N22" s="32">
        <v>4800</v>
      </c>
    </row>
    <row r="23" spans="1:14" x14ac:dyDescent="0.2">
      <c r="A23">
        <f t="shared" si="0"/>
        <v>22</v>
      </c>
      <c r="B23" t="str">
        <f t="shared" si="1"/>
        <v>No</v>
      </c>
      <c r="C23" t="s">
        <v>83</v>
      </c>
      <c r="D23" s="29" t="s">
        <v>40</v>
      </c>
      <c r="E23" s="31">
        <v>45843</v>
      </c>
      <c r="F23" s="44" t="s">
        <v>94</v>
      </c>
      <c r="G23" s="44" t="s">
        <v>95</v>
      </c>
      <c r="H23" s="44" t="s">
        <v>103</v>
      </c>
      <c r="I23" s="44" t="s">
        <v>109</v>
      </c>
      <c r="J23" s="44" t="s">
        <v>115</v>
      </c>
      <c r="K23" s="29" t="s">
        <v>92</v>
      </c>
      <c r="L23" s="29" t="s">
        <v>35</v>
      </c>
      <c r="M23" t="str">
        <f t="shared" si="2"/>
        <v>NovaEdge Solutions Stationery Material Order month of July -2025</v>
      </c>
      <c r="N23" s="32">
        <v>10070</v>
      </c>
    </row>
    <row r="24" spans="1:14" x14ac:dyDescent="0.2">
      <c r="A24">
        <f t="shared" si="0"/>
        <v>23</v>
      </c>
      <c r="B24" t="str">
        <f t="shared" si="1"/>
        <v>No</v>
      </c>
      <c r="C24" t="s">
        <v>83</v>
      </c>
      <c r="D24" s="29" t="s">
        <v>41</v>
      </c>
      <c r="E24" s="31">
        <v>45843</v>
      </c>
      <c r="F24" s="44" t="s">
        <v>94</v>
      </c>
      <c r="G24" s="44" t="s">
        <v>95</v>
      </c>
      <c r="H24" s="44" t="s">
        <v>103</v>
      </c>
      <c r="I24" s="44" t="s">
        <v>109</v>
      </c>
      <c r="J24" s="44" t="s">
        <v>115</v>
      </c>
      <c r="K24" s="29" t="s">
        <v>92</v>
      </c>
      <c r="L24" s="29" t="s">
        <v>34</v>
      </c>
      <c r="M24" t="str">
        <f t="shared" si="2"/>
        <v>NovaEdge Solutions HK Material Order month of July -2025</v>
      </c>
      <c r="N24" s="32">
        <v>46656</v>
      </c>
    </row>
    <row r="25" spans="1:14" x14ac:dyDescent="0.2">
      <c r="A25">
        <f t="shared" si="0"/>
        <v>24</v>
      </c>
      <c r="B25" t="str">
        <f t="shared" si="1"/>
        <v>No</v>
      </c>
      <c r="C25" t="s">
        <v>75</v>
      </c>
      <c r="D25" s="29" t="s">
        <v>39</v>
      </c>
      <c r="E25" s="31">
        <v>45840</v>
      </c>
      <c r="F25" s="44" t="s">
        <v>94</v>
      </c>
      <c r="G25" s="44" t="s">
        <v>95</v>
      </c>
      <c r="H25" s="44" t="s">
        <v>103</v>
      </c>
      <c r="I25" s="44" t="s">
        <v>109</v>
      </c>
      <c r="J25" s="44" t="s">
        <v>115</v>
      </c>
      <c r="K25" s="29" t="s">
        <v>92</v>
      </c>
      <c r="L25" t="s">
        <v>34</v>
      </c>
      <c r="M25" t="str">
        <f t="shared" si="2"/>
        <v>NovaEdge Solutions HK Material Order month of July -2025</v>
      </c>
      <c r="N25" s="32">
        <v>41580</v>
      </c>
    </row>
    <row r="26" spans="1:14" x14ac:dyDescent="0.2">
      <c r="A26">
        <f t="shared" si="0"/>
        <v>25</v>
      </c>
      <c r="B26" t="str">
        <f t="shared" si="1"/>
        <v>No</v>
      </c>
      <c r="C26" t="s">
        <v>80</v>
      </c>
      <c r="D26" s="29" t="s">
        <v>39</v>
      </c>
      <c r="E26" s="31">
        <v>45840</v>
      </c>
      <c r="F26" s="44" t="s">
        <v>94</v>
      </c>
      <c r="G26" s="44" t="s">
        <v>95</v>
      </c>
      <c r="H26" s="44" t="s">
        <v>103</v>
      </c>
      <c r="I26" s="44" t="s">
        <v>109</v>
      </c>
      <c r="J26" s="44" t="s">
        <v>115</v>
      </c>
      <c r="K26" s="29" t="s">
        <v>92</v>
      </c>
      <c r="L26" t="s">
        <v>34</v>
      </c>
      <c r="M26" t="str">
        <f t="shared" si="2"/>
        <v>NovaEdge Solutions HK Material Order month of July -2025</v>
      </c>
      <c r="N26" s="32">
        <v>1445</v>
      </c>
    </row>
    <row r="27" spans="1:14" x14ac:dyDescent="0.2">
      <c r="A27">
        <f t="shared" si="0"/>
        <v>26</v>
      </c>
      <c r="B27" t="str">
        <f t="shared" si="1"/>
        <v>No</v>
      </c>
      <c r="C27" t="s">
        <v>80</v>
      </c>
      <c r="D27" s="29" t="s">
        <v>40</v>
      </c>
      <c r="E27" s="31">
        <v>45840</v>
      </c>
      <c r="F27" s="44" t="s">
        <v>94</v>
      </c>
      <c r="G27" s="44" t="s">
        <v>95</v>
      </c>
      <c r="H27" s="44" t="s">
        <v>103</v>
      </c>
      <c r="I27" s="44" t="s">
        <v>109</v>
      </c>
      <c r="J27" s="44" t="s">
        <v>115</v>
      </c>
      <c r="K27" s="29" t="s">
        <v>92</v>
      </c>
      <c r="L27" t="s">
        <v>35</v>
      </c>
      <c r="M27" t="str">
        <f t="shared" si="2"/>
        <v>NovaEdge Solutions Stationery Material Order month of July -2025</v>
      </c>
      <c r="N27" s="32">
        <v>5647</v>
      </c>
    </row>
    <row r="28" spans="1:14" x14ac:dyDescent="0.2">
      <c r="A28">
        <f t="shared" si="0"/>
        <v>27</v>
      </c>
      <c r="B28" t="str">
        <f t="shared" si="1"/>
        <v>No</v>
      </c>
      <c r="C28" t="s">
        <v>72</v>
      </c>
      <c r="D28" s="29" t="s">
        <v>39</v>
      </c>
      <c r="E28" s="31">
        <v>45840</v>
      </c>
      <c r="F28" s="44" t="s">
        <v>94</v>
      </c>
      <c r="G28" s="44" t="s">
        <v>95</v>
      </c>
      <c r="H28" s="44" t="s">
        <v>103</v>
      </c>
      <c r="I28" s="44" t="s">
        <v>109</v>
      </c>
      <c r="J28" s="44" t="s">
        <v>115</v>
      </c>
      <c r="K28" s="29" t="s">
        <v>92</v>
      </c>
      <c r="L28" t="s">
        <v>35</v>
      </c>
      <c r="M28" t="str">
        <f t="shared" si="2"/>
        <v>NovaEdge Solutions Stationery Material Order month of July -2025</v>
      </c>
      <c r="N28" s="32">
        <v>1374</v>
      </c>
    </row>
    <row r="29" spans="1:14" x14ac:dyDescent="0.2">
      <c r="A29">
        <f t="shared" si="0"/>
        <v>28</v>
      </c>
      <c r="B29" t="str">
        <f t="shared" si="1"/>
        <v>No</v>
      </c>
      <c r="C29" t="s">
        <v>72</v>
      </c>
      <c r="D29" s="29" t="s">
        <v>40</v>
      </c>
      <c r="E29" s="31">
        <v>45840</v>
      </c>
      <c r="F29" s="44" t="s">
        <v>94</v>
      </c>
      <c r="G29" s="44" t="s">
        <v>95</v>
      </c>
      <c r="H29" s="44" t="s">
        <v>103</v>
      </c>
      <c r="I29" s="44" t="s">
        <v>109</v>
      </c>
      <c r="J29" s="44" t="s">
        <v>115</v>
      </c>
      <c r="K29" s="29" t="s">
        <v>92</v>
      </c>
      <c r="L29" t="s">
        <v>34</v>
      </c>
      <c r="M29" t="str">
        <f t="shared" si="2"/>
        <v>NovaEdge Solutions HK Material Order month of July -2025</v>
      </c>
      <c r="N29" s="32">
        <v>13184</v>
      </c>
    </row>
    <row r="30" spans="1:14" x14ac:dyDescent="0.2">
      <c r="A30">
        <f t="shared" si="0"/>
        <v>29</v>
      </c>
      <c r="B30" t="str">
        <f t="shared" si="1"/>
        <v>No</v>
      </c>
      <c r="C30" t="s">
        <v>75</v>
      </c>
      <c r="D30" s="29" t="s">
        <v>40</v>
      </c>
      <c r="E30" s="31">
        <v>45840</v>
      </c>
      <c r="F30" s="44" t="s">
        <v>94</v>
      </c>
      <c r="G30" s="44" t="s">
        <v>95</v>
      </c>
      <c r="H30" s="44" t="s">
        <v>103</v>
      </c>
      <c r="I30" s="44" t="s">
        <v>109</v>
      </c>
      <c r="J30" s="44" t="s">
        <v>115</v>
      </c>
      <c r="K30" s="29" t="s">
        <v>92</v>
      </c>
      <c r="L30" t="s">
        <v>35</v>
      </c>
      <c r="M30" t="str">
        <f t="shared" si="2"/>
        <v>NovaEdge Solutions Stationery Material Order month of July -2025</v>
      </c>
      <c r="N30" s="32">
        <v>3085.5</v>
      </c>
    </row>
    <row r="31" spans="1:14" x14ac:dyDescent="0.2">
      <c r="A31">
        <f t="shared" si="0"/>
        <v>30</v>
      </c>
      <c r="B31" t="str">
        <f t="shared" si="1"/>
        <v>No</v>
      </c>
      <c r="C31" t="s">
        <v>71</v>
      </c>
      <c r="D31" t="s">
        <v>39</v>
      </c>
      <c r="E31" s="31">
        <v>45840</v>
      </c>
      <c r="F31" s="44" t="s">
        <v>94</v>
      </c>
      <c r="G31" s="44" t="s">
        <v>95</v>
      </c>
      <c r="H31" s="44" t="s">
        <v>103</v>
      </c>
      <c r="I31" s="44" t="s">
        <v>109</v>
      </c>
      <c r="J31" s="44" t="s">
        <v>115</v>
      </c>
      <c r="K31" s="29" t="s">
        <v>93</v>
      </c>
      <c r="L31" s="29" t="s">
        <v>68</v>
      </c>
      <c r="M31" t="str">
        <f t="shared" si="2"/>
        <v>AquaLeaf Drinks Coffee Material Order month of July -2025</v>
      </c>
      <c r="N31" s="32">
        <v>14400</v>
      </c>
    </row>
    <row r="32" spans="1:14" x14ac:dyDescent="0.2">
      <c r="A32">
        <f t="shared" si="0"/>
        <v>31</v>
      </c>
      <c r="B32" t="str">
        <f t="shared" si="1"/>
        <v>No</v>
      </c>
      <c r="C32" t="s">
        <v>87</v>
      </c>
      <c r="D32" s="44" t="s">
        <v>39</v>
      </c>
      <c r="E32" s="31">
        <v>45841</v>
      </c>
      <c r="F32" s="44" t="s">
        <v>94</v>
      </c>
      <c r="G32" s="44" t="s">
        <v>95</v>
      </c>
      <c r="H32" s="44" t="s">
        <v>103</v>
      </c>
      <c r="I32" s="44" t="s">
        <v>109</v>
      </c>
      <c r="J32" s="44" t="s">
        <v>115</v>
      </c>
      <c r="K32" s="29" t="s">
        <v>92</v>
      </c>
      <c r="L32" t="s">
        <v>34</v>
      </c>
      <c r="M32" t="str">
        <f t="shared" si="2"/>
        <v>NovaEdge Solutions HK Material Order month of July -2025</v>
      </c>
      <c r="N32" s="32">
        <v>9846</v>
      </c>
    </row>
    <row r="33" spans="1:14" x14ac:dyDescent="0.2">
      <c r="A33">
        <f t="shared" si="0"/>
        <v>32</v>
      </c>
      <c r="B33" t="str">
        <f t="shared" si="1"/>
        <v>No</v>
      </c>
      <c r="C33" t="s">
        <v>83</v>
      </c>
      <c r="D33" s="44" t="s">
        <v>42</v>
      </c>
      <c r="E33" s="31">
        <v>45880</v>
      </c>
      <c r="F33" s="44" t="s">
        <v>94</v>
      </c>
      <c r="G33" s="44" t="s">
        <v>95</v>
      </c>
      <c r="H33" s="44" t="s">
        <v>103</v>
      </c>
      <c r="I33" s="44" t="s">
        <v>109</v>
      </c>
      <c r="J33" s="44" t="s">
        <v>115</v>
      </c>
      <c r="K33" s="29" t="s">
        <v>93</v>
      </c>
      <c r="L33" s="29" t="s">
        <v>68</v>
      </c>
      <c r="M33" t="str">
        <f t="shared" si="2"/>
        <v>AquaLeaf Drinks Coffee Material Order month of August -2025</v>
      </c>
      <c r="N33" s="32">
        <v>24800</v>
      </c>
    </row>
    <row r="34" spans="1:14" x14ac:dyDescent="0.2">
      <c r="A34">
        <f t="shared" si="0"/>
        <v>33</v>
      </c>
      <c r="B34" t="str">
        <f t="shared" si="1"/>
        <v>No</v>
      </c>
      <c r="C34" t="s">
        <v>83</v>
      </c>
      <c r="D34" s="44" t="s">
        <v>43</v>
      </c>
      <c r="E34" s="31">
        <v>45874</v>
      </c>
      <c r="F34" s="44" t="s">
        <v>94</v>
      </c>
      <c r="G34" s="44" t="s">
        <v>95</v>
      </c>
      <c r="H34" s="44" t="s">
        <v>103</v>
      </c>
      <c r="I34" s="44" t="s">
        <v>109</v>
      </c>
      <c r="J34" s="44" t="s">
        <v>115</v>
      </c>
      <c r="K34" s="29" t="s">
        <v>92</v>
      </c>
      <c r="L34" s="29" t="s">
        <v>35</v>
      </c>
      <c r="M34" t="str">
        <f t="shared" si="2"/>
        <v>NovaEdge Solutions Stationery Material Order month of August -2025</v>
      </c>
      <c r="N34" s="32">
        <v>12919.5</v>
      </c>
    </row>
    <row r="35" spans="1:14" x14ac:dyDescent="0.2">
      <c r="A35">
        <f t="shared" si="0"/>
        <v>34</v>
      </c>
      <c r="B35" t="str">
        <f t="shared" si="1"/>
        <v>No</v>
      </c>
      <c r="C35" t="s">
        <v>83</v>
      </c>
      <c r="D35" s="44" t="s">
        <v>44</v>
      </c>
      <c r="E35" s="31">
        <v>45874</v>
      </c>
      <c r="F35" s="44" t="s">
        <v>94</v>
      </c>
      <c r="G35" s="44" t="s">
        <v>95</v>
      </c>
      <c r="H35" s="44" t="s">
        <v>103</v>
      </c>
      <c r="I35" s="44" t="s">
        <v>109</v>
      </c>
      <c r="J35" s="44" t="s">
        <v>115</v>
      </c>
      <c r="K35" s="29" t="s">
        <v>92</v>
      </c>
      <c r="L35" s="29" t="s">
        <v>34</v>
      </c>
      <c r="M35" t="str">
        <f t="shared" si="2"/>
        <v>NovaEdge Solutions HK Material Order month of August -2025</v>
      </c>
      <c r="N35" s="32">
        <v>33746</v>
      </c>
    </row>
    <row r="36" spans="1:14" x14ac:dyDescent="0.2">
      <c r="A36">
        <f t="shared" si="0"/>
        <v>35</v>
      </c>
      <c r="B36" t="str">
        <f t="shared" si="1"/>
        <v>No</v>
      </c>
      <c r="C36" t="s">
        <v>75</v>
      </c>
      <c r="D36" s="44" t="s">
        <v>42</v>
      </c>
      <c r="E36" s="31">
        <v>45880</v>
      </c>
      <c r="F36" s="44" t="s">
        <v>94</v>
      </c>
      <c r="G36" s="44" t="s">
        <v>95</v>
      </c>
      <c r="H36" s="44" t="s">
        <v>103</v>
      </c>
      <c r="I36" s="44" t="s">
        <v>109</v>
      </c>
      <c r="J36" s="44" t="s">
        <v>115</v>
      </c>
      <c r="K36" s="29" t="s">
        <v>92</v>
      </c>
      <c r="L36" s="29" t="s">
        <v>68</v>
      </c>
      <c r="M36" t="str">
        <f t="shared" si="2"/>
        <v>NovaEdge Solutions Coffee Material Order month of August -2025</v>
      </c>
      <c r="N36" s="32">
        <v>13101.2</v>
      </c>
    </row>
    <row r="37" spans="1:14" x14ac:dyDescent="0.2">
      <c r="A37">
        <f t="shared" si="0"/>
        <v>36</v>
      </c>
      <c r="B37" t="str">
        <f t="shared" si="1"/>
        <v>No</v>
      </c>
      <c r="C37" t="s">
        <v>75</v>
      </c>
      <c r="D37" s="44" t="s">
        <v>43</v>
      </c>
      <c r="E37" s="31">
        <v>45873</v>
      </c>
      <c r="F37" s="44" t="s">
        <v>94</v>
      </c>
      <c r="G37" s="44" t="s">
        <v>95</v>
      </c>
      <c r="H37" s="44" t="s">
        <v>103</v>
      </c>
      <c r="I37" s="44" t="s">
        <v>109</v>
      </c>
      <c r="J37" s="44" t="s">
        <v>115</v>
      </c>
      <c r="K37" s="29" t="s">
        <v>92</v>
      </c>
      <c r="L37" s="44" t="s">
        <v>34</v>
      </c>
      <c r="M37" t="str">
        <f t="shared" si="2"/>
        <v>NovaEdge Solutions HK Material Order month of August -2025</v>
      </c>
      <c r="N37" s="32">
        <v>52770</v>
      </c>
    </row>
    <row r="38" spans="1:14" x14ac:dyDescent="0.2">
      <c r="A38">
        <f t="shared" si="0"/>
        <v>37</v>
      </c>
      <c r="B38" t="str">
        <f t="shared" si="1"/>
        <v>No</v>
      </c>
      <c r="C38" t="s">
        <v>75</v>
      </c>
      <c r="D38" s="44" t="s">
        <v>44</v>
      </c>
      <c r="E38" s="31">
        <v>45873</v>
      </c>
      <c r="F38" s="44" t="s">
        <v>94</v>
      </c>
      <c r="G38" s="44" t="s">
        <v>95</v>
      </c>
      <c r="H38" s="44" t="s">
        <v>103</v>
      </c>
      <c r="I38" s="44" t="s">
        <v>109</v>
      </c>
      <c r="J38" s="44" t="s">
        <v>115</v>
      </c>
      <c r="K38" s="29" t="s">
        <v>92</v>
      </c>
      <c r="L38" t="s">
        <v>35</v>
      </c>
      <c r="M38" t="str">
        <f t="shared" si="2"/>
        <v>NovaEdge Solutions Stationery Material Order month of August -2025</v>
      </c>
      <c r="N38" s="32">
        <v>4645</v>
      </c>
    </row>
    <row r="39" spans="1:14" x14ac:dyDescent="0.2">
      <c r="A39">
        <f t="shared" si="0"/>
        <v>38</v>
      </c>
      <c r="B39" t="str">
        <f t="shared" si="1"/>
        <v>No</v>
      </c>
      <c r="C39" t="s">
        <v>87</v>
      </c>
      <c r="D39" s="44" t="s">
        <v>42</v>
      </c>
      <c r="E39" s="31">
        <v>45879</v>
      </c>
      <c r="F39" s="44" t="s">
        <v>94</v>
      </c>
      <c r="G39" s="44" t="s">
        <v>95</v>
      </c>
      <c r="H39" s="44" t="s">
        <v>103</v>
      </c>
      <c r="I39" s="44" t="s">
        <v>109</v>
      </c>
      <c r="J39" s="44" t="s">
        <v>115</v>
      </c>
      <c r="K39" s="29" t="s">
        <v>92</v>
      </c>
      <c r="L39" t="s">
        <v>35</v>
      </c>
      <c r="M39" t="str">
        <f t="shared" si="2"/>
        <v>NovaEdge Solutions Stationery Material Order month of August -2025</v>
      </c>
      <c r="N39" s="32">
        <v>3625</v>
      </c>
    </row>
    <row r="40" spans="1:14" x14ac:dyDescent="0.2">
      <c r="A40">
        <f t="shared" si="0"/>
        <v>39</v>
      </c>
      <c r="B40" t="str">
        <f t="shared" si="1"/>
        <v>No</v>
      </c>
      <c r="C40" t="s">
        <v>87</v>
      </c>
      <c r="D40" s="44" t="s">
        <v>43</v>
      </c>
      <c r="E40" s="31">
        <v>45879</v>
      </c>
      <c r="F40" s="44" t="s">
        <v>94</v>
      </c>
      <c r="G40" s="44" t="s">
        <v>95</v>
      </c>
      <c r="H40" s="44" t="s">
        <v>103</v>
      </c>
      <c r="I40" s="44" t="s">
        <v>109</v>
      </c>
      <c r="J40" s="44" t="s">
        <v>115</v>
      </c>
      <c r="K40" s="29" t="s">
        <v>92</v>
      </c>
      <c r="L40" s="44" t="s">
        <v>34</v>
      </c>
      <c r="M40" t="str">
        <f t="shared" si="2"/>
        <v>NovaEdge Solutions HK Material Order month of August -2025</v>
      </c>
      <c r="N40" s="32">
        <v>18142</v>
      </c>
    </row>
    <row r="41" spans="1:14" x14ac:dyDescent="0.2">
      <c r="A41">
        <f t="shared" si="0"/>
        <v>40</v>
      </c>
      <c r="B41" t="str">
        <f t="shared" si="1"/>
        <v>No</v>
      </c>
      <c r="C41" t="s">
        <v>82</v>
      </c>
      <c r="D41" t="s">
        <v>45</v>
      </c>
      <c r="E41" s="31">
        <v>45873</v>
      </c>
      <c r="F41" s="44" t="s">
        <v>94</v>
      </c>
      <c r="G41" s="44" t="s">
        <v>95</v>
      </c>
      <c r="H41" s="44" t="s">
        <v>103</v>
      </c>
      <c r="I41" s="44" t="s">
        <v>109</v>
      </c>
      <c r="J41" s="44" t="s">
        <v>115</v>
      </c>
      <c r="K41" s="29" t="s">
        <v>92</v>
      </c>
      <c r="L41" s="44" t="s">
        <v>34</v>
      </c>
      <c r="M41" t="str">
        <f t="shared" si="2"/>
        <v>NovaEdge Solutions HK Material Order month of August -2025</v>
      </c>
      <c r="N41" s="32">
        <v>11000</v>
      </c>
    </row>
    <row r="42" spans="1:14" x14ac:dyDescent="0.2">
      <c r="A42">
        <f t="shared" si="0"/>
        <v>41</v>
      </c>
      <c r="B42" t="str">
        <f t="shared" si="1"/>
        <v>No</v>
      </c>
      <c r="C42" t="s">
        <v>80</v>
      </c>
      <c r="D42" s="44" t="s">
        <v>42</v>
      </c>
      <c r="E42" s="31">
        <v>45870</v>
      </c>
      <c r="F42" s="44" t="s">
        <v>94</v>
      </c>
      <c r="G42" s="44" t="s">
        <v>95</v>
      </c>
      <c r="H42" s="44" t="s">
        <v>103</v>
      </c>
      <c r="I42" s="44" t="s">
        <v>109</v>
      </c>
      <c r="J42" s="44" t="s">
        <v>115</v>
      </c>
      <c r="K42" s="29" t="s">
        <v>92</v>
      </c>
      <c r="L42" s="44" t="s">
        <v>34</v>
      </c>
      <c r="M42" t="str">
        <f t="shared" si="2"/>
        <v>NovaEdge Solutions HK Material Order month of August -2025</v>
      </c>
      <c r="N42" s="32">
        <v>1277</v>
      </c>
    </row>
    <row r="43" spans="1:14" x14ac:dyDescent="0.2">
      <c r="A43">
        <f t="shared" si="0"/>
        <v>42</v>
      </c>
      <c r="B43" t="str">
        <f t="shared" si="1"/>
        <v>No</v>
      </c>
      <c r="C43" t="s">
        <v>72</v>
      </c>
      <c r="D43" s="44" t="s">
        <v>42</v>
      </c>
      <c r="E43" s="31">
        <v>45871</v>
      </c>
      <c r="F43" s="44" t="s">
        <v>94</v>
      </c>
      <c r="G43" s="44" t="s">
        <v>95</v>
      </c>
      <c r="H43" s="44" t="s">
        <v>103</v>
      </c>
      <c r="I43" s="44" t="s">
        <v>109</v>
      </c>
      <c r="J43" s="44" t="s">
        <v>115</v>
      </c>
      <c r="K43" s="29" t="s">
        <v>92</v>
      </c>
      <c r="L43" t="s">
        <v>35</v>
      </c>
      <c r="M43" t="str">
        <f t="shared" si="2"/>
        <v>NovaEdge Solutions Stationery Material Order month of August -2025</v>
      </c>
      <c r="N43" s="32">
        <v>6744.5</v>
      </c>
    </row>
    <row r="44" spans="1:14" x14ac:dyDescent="0.2">
      <c r="A44">
        <f t="shared" si="0"/>
        <v>43</v>
      </c>
      <c r="B44" t="str">
        <f t="shared" si="1"/>
        <v>No</v>
      </c>
      <c r="C44" t="s">
        <v>70</v>
      </c>
      <c r="D44" s="44" t="s">
        <v>42</v>
      </c>
      <c r="E44" s="31">
        <v>45871</v>
      </c>
      <c r="F44" s="44" t="s">
        <v>94</v>
      </c>
      <c r="G44" s="44" t="s">
        <v>95</v>
      </c>
      <c r="H44" s="44" t="s">
        <v>103</v>
      </c>
      <c r="I44" s="44" t="s">
        <v>109</v>
      </c>
      <c r="J44" s="44" t="s">
        <v>115</v>
      </c>
      <c r="K44" s="29" t="s">
        <v>92</v>
      </c>
      <c r="L44" s="29" t="s">
        <v>34</v>
      </c>
      <c r="M44" t="str">
        <f t="shared" si="2"/>
        <v>NovaEdge Solutions HK Material Order month of August -2025</v>
      </c>
      <c r="N44" s="32">
        <v>29484</v>
      </c>
    </row>
    <row r="45" spans="1:14" x14ac:dyDescent="0.2">
      <c r="A45">
        <f t="shared" si="0"/>
        <v>44</v>
      </c>
      <c r="B45" t="str">
        <f t="shared" si="1"/>
        <v>No</v>
      </c>
      <c r="C45" t="s">
        <v>70</v>
      </c>
      <c r="D45" s="44" t="s">
        <v>43</v>
      </c>
      <c r="E45" s="31">
        <v>45871</v>
      </c>
      <c r="F45" s="44" t="s">
        <v>94</v>
      </c>
      <c r="G45" s="44" t="s">
        <v>95</v>
      </c>
      <c r="H45" s="44" t="s">
        <v>103</v>
      </c>
      <c r="I45" s="44" t="s">
        <v>109</v>
      </c>
      <c r="J45" s="44" t="s">
        <v>115</v>
      </c>
      <c r="K45" s="29" t="s">
        <v>92</v>
      </c>
      <c r="L45" t="s">
        <v>35</v>
      </c>
      <c r="M45" t="str">
        <f t="shared" si="2"/>
        <v>NovaEdge Solutions Stationery Material Order month of August -2025</v>
      </c>
      <c r="N45" s="32">
        <v>35</v>
      </c>
    </row>
    <row r="46" spans="1:14" x14ac:dyDescent="0.2">
      <c r="A46">
        <f t="shared" si="0"/>
        <v>45</v>
      </c>
      <c r="B46" t="str">
        <f t="shared" si="1"/>
        <v>No</v>
      </c>
      <c r="C46" t="s">
        <v>70</v>
      </c>
      <c r="D46" s="44" t="s">
        <v>44</v>
      </c>
      <c r="E46" s="31">
        <v>45871</v>
      </c>
      <c r="F46" s="44" t="s">
        <v>94</v>
      </c>
      <c r="G46" s="44" t="s">
        <v>95</v>
      </c>
      <c r="H46" s="44" t="s">
        <v>103</v>
      </c>
      <c r="I46" s="44" t="s">
        <v>109</v>
      </c>
      <c r="J46" s="44" t="s">
        <v>115</v>
      </c>
      <c r="K46" s="29" t="s">
        <v>92</v>
      </c>
      <c r="L46" s="29" t="s">
        <v>68</v>
      </c>
      <c r="M46" t="str">
        <f t="shared" si="2"/>
        <v>NovaEdge Solutions Coffee Material Order month of August -2025</v>
      </c>
      <c r="N46" s="32">
        <v>10398.719999999999</v>
      </c>
    </row>
    <row r="47" spans="1:14" x14ac:dyDescent="0.2">
      <c r="A47">
        <f t="shared" si="0"/>
        <v>46</v>
      </c>
      <c r="B47" t="str">
        <f t="shared" si="1"/>
        <v>No</v>
      </c>
      <c r="C47" t="s">
        <v>87</v>
      </c>
      <c r="D47" s="44" t="s">
        <v>44</v>
      </c>
      <c r="E47" s="31">
        <v>45874</v>
      </c>
      <c r="F47" s="44" t="s">
        <v>94</v>
      </c>
      <c r="G47" s="44" t="s">
        <v>95</v>
      </c>
      <c r="H47" s="44" t="s">
        <v>103</v>
      </c>
      <c r="I47" s="44" t="s">
        <v>109</v>
      </c>
      <c r="J47" s="44" t="s">
        <v>115</v>
      </c>
      <c r="K47" s="29" t="s">
        <v>91</v>
      </c>
      <c r="L47" s="29" t="s">
        <v>68</v>
      </c>
      <c r="M47" t="str">
        <f t="shared" si="2"/>
        <v>Orion TradeCorp Coffee Material Order month of August -2025</v>
      </c>
      <c r="N47" s="32">
        <v>19527</v>
      </c>
    </row>
    <row r="48" spans="1:14" x14ac:dyDescent="0.2">
      <c r="A48">
        <f t="shared" si="0"/>
        <v>47</v>
      </c>
      <c r="B48" t="str">
        <f t="shared" si="1"/>
        <v>No</v>
      </c>
      <c r="C48" t="s">
        <v>70</v>
      </c>
      <c r="D48" s="44" t="s">
        <v>46</v>
      </c>
      <c r="E48" s="31">
        <v>45902</v>
      </c>
      <c r="F48" s="44" t="s">
        <v>94</v>
      </c>
      <c r="G48" s="44" t="s">
        <v>95</v>
      </c>
      <c r="H48" s="44" t="s">
        <v>103</v>
      </c>
      <c r="I48" s="44" t="s">
        <v>109</v>
      </c>
      <c r="J48" s="44" t="s">
        <v>115</v>
      </c>
      <c r="K48" s="29" t="s">
        <v>92</v>
      </c>
      <c r="L48" s="29" t="s">
        <v>34</v>
      </c>
      <c r="M48" t="str">
        <f t="shared" si="2"/>
        <v>NovaEdge Solutions HK Material Order month of September -2025</v>
      </c>
      <c r="N48" s="32">
        <v>20443.5</v>
      </c>
    </row>
    <row r="49" spans="1:14" x14ac:dyDescent="0.2">
      <c r="A49">
        <f t="shared" si="0"/>
        <v>48</v>
      </c>
      <c r="B49" t="str">
        <f t="shared" si="1"/>
        <v>No</v>
      </c>
      <c r="C49" t="s">
        <v>70</v>
      </c>
      <c r="D49" s="44" t="s">
        <v>47</v>
      </c>
      <c r="E49" s="31">
        <v>45902</v>
      </c>
      <c r="F49" s="44" t="s">
        <v>94</v>
      </c>
      <c r="G49" s="44" t="s">
        <v>95</v>
      </c>
      <c r="H49" s="44" t="s">
        <v>103</v>
      </c>
      <c r="I49" s="44" t="s">
        <v>109</v>
      </c>
      <c r="J49" s="44" t="s">
        <v>115</v>
      </c>
      <c r="K49" s="29" t="s">
        <v>92</v>
      </c>
      <c r="L49" t="s">
        <v>35</v>
      </c>
      <c r="M49" t="str">
        <f t="shared" si="2"/>
        <v>NovaEdge Solutions Stationery Material Order month of September -2025</v>
      </c>
      <c r="N49" s="32">
        <v>1100</v>
      </c>
    </row>
    <row r="50" spans="1:14" x14ac:dyDescent="0.2">
      <c r="A50">
        <f t="shared" si="0"/>
        <v>49</v>
      </c>
      <c r="B50" t="str">
        <f t="shared" si="1"/>
        <v>No</v>
      </c>
      <c r="C50" t="s">
        <v>83</v>
      </c>
      <c r="D50" s="44" t="s">
        <v>48</v>
      </c>
      <c r="E50" s="31">
        <v>45905</v>
      </c>
      <c r="F50" s="44" t="s">
        <v>94</v>
      </c>
      <c r="G50" s="44" t="s">
        <v>95</v>
      </c>
      <c r="H50" s="44" t="s">
        <v>103</v>
      </c>
      <c r="I50" s="44" t="s">
        <v>109</v>
      </c>
      <c r="J50" s="44" t="s">
        <v>115</v>
      </c>
      <c r="K50" s="29" t="s">
        <v>92</v>
      </c>
      <c r="L50" s="29" t="s">
        <v>34</v>
      </c>
      <c r="M50" t="str">
        <f t="shared" si="2"/>
        <v>NovaEdge Solutions HK Material Order month of September -2025</v>
      </c>
      <c r="N50" s="32">
        <v>49949</v>
      </c>
    </row>
    <row r="51" spans="1:14" x14ac:dyDescent="0.2">
      <c r="A51">
        <f t="shared" si="0"/>
        <v>50</v>
      </c>
      <c r="B51" t="str">
        <f t="shared" si="1"/>
        <v>No</v>
      </c>
      <c r="C51" t="s">
        <v>83</v>
      </c>
      <c r="D51" s="44" t="s">
        <v>47</v>
      </c>
      <c r="E51" s="31">
        <v>45905</v>
      </c>
      <c r="F51" s="44" t="s">
        <v>94</v>
      </c>
      <c r="G51" s="44" t="s">
        <v>95</v>
      </c>
      <c r="H51" s="44" t="s">
        <v>103</v>
      </c>
      <c r="I51" s="44" t="s">
        <v>109</v>
      </c>
      <c r="J51" s="44" t="s">
        <v>115</v>
      </c>
      <c r="K51" s="29" t="s">
        <v>92</v>
      </c>
      <c r="L51" s="29" t="s">
        <v>35</v>
      </c>
      <c r="M51" t="str">
        <f t="shared" si="2"/>
        <v>NovaEdge Solutions Stationery Material Order month of September -2025</v>
      </c>
      <c r="N51" s="32">
        <v>17455</v>
      </c>
    </row>
    <row r="52" spans="1:14" x14ac:dyDescent="0.2">
      <c r="A52">
        <f t="shared" si="0"/>
        <v>51</v>
      </c>
      <c r="B52" t="str">
        <f t="shared" si="1"/>
        <v>No</v>
      </c>
      <c r="C52" t="s">
        <v>90</v>
      </c>
      <c r="D52" t="s">
        <v>49</v>
      </c>
      <c r="E52" s="31">
        <v>45905</v>
      </c>
      <c r="F52" s="44" t="s">
        <v>94</v>
      </c>
      <c r="G52" s="44" t="s">
        <v>95</v>
      </c>
      <c r="H52" s="44" t="s">
        <v>103</v>
      </c>
      <c r="I52" s="44" t="s">
        <v>109</v>
      </c>
      <c r="J52" s="44" t="s">
        <v>115</v>
      </c>
      <c r="K52" s="29" t="s">
        <v>92</v>
      </c>
      <c r="L52" s="29" t="s">
        <v>35</v>
      </c>
      <c r="M52" t="str">
        <f t="shared" si="2"/>
        <v>NovaEdge Solutions Stationery Material Order month of September -2025</v>
      </c>
      <c r="N52" s="32">
        <v>1276</v>
      </c>
    </row>
    <row r="53" spans="1:14" x14ac:dyDescent="0.2">
      <c r="A53">
        <f t="shared" si="0"/>
        <v>52</v>
      </c>
      <c r="B53" t="str">
        <f t="shared" si="1"/>
        <v>No</v>
      </c>
      <c r="C53" t="s">
        <v>72</v>
      </c>
      <c r="D53" s="44" t="s">
        <v>48</v>
      </c>
      <c r="E53" s="31">
        <v>45905</v>
      </c>
      <c r="F53" s="44" t="s">
        <v>94</v>
      </c>
      <c r="G53" s="44" t="s">
        <v>95</v>
      </c>
      <c r="H53" s="44" t="s">
        <v>103</v>
      </c>
      <c r="I53" s="44" t="s">
        <v>109</v>
      </c>
      <c r="J53" s="44" t="s">
        <v>115</v>
      </c>
      <c r="K53" s="29" t="s">
        <v>92</v>
      </c>
      <c r="L53" t="s">
        <v>35</v>
      </c>
      <c r="M53" t="str">
        <f t="shared" si="2"/>
        <v>NovaEdge Solutions Stationery Material Order month of September -2025</v>
      </c>
      <c r="N53" s="32">
        <v>12189.5</v>
      </c>
    </row>
    <row r="54" spans="1:14" x14ac:dyDescent="0.2">
      <c r="A54">
        <f t="shared" si="0"/>
        <v>53</v>
      </c>
      <c r="B54" t="str">
        <f t="shared" si="1"/>
        <v>No</v>
      </c>
      <c r="C54" t="s">
        <v>72</v>
      </c>
      <c r="D54" s="44" t="s">
        <v>47</v>
      </c>
      <c r="E54" s="31">
        <v>45905</v>
      </c>
      <c r="F54" s="44" t="s">
        <v>94</v>
      </c>
      <c r="G54" s="44" t="s">
        <v>95</v>
      </c>
      <c r="H54" s="44" t="s">
        <v>103</v>
      </c>
      <c r="I54" s="44" t="s">
        <v>109</v>
      </c>
      <c r="J54" s="44" t="s">
        <v>115</v>
      </c>
      <c r="K54" s="29" t="s">
        <v>92</v>
      </c>
      <c r="L54" t="s">
        <v>34</v>
      </c>
      <c r="M54" t="str">
        <f t="shared" si="2"/>
        <v>NovaEdge Solutions HK Material Order month of September -2025</v>
      </c>
      <c r="N54" s="32">
        <v>9580</v>
      </c>
    </row>
    <row r="55" spans="1:14" x14ac:dyDescent="0.2">
      <c r="A55">
        <f t="shared" si="0"/>
        <v>54</v>
      </c>
      <c r="B55" t="str">
        <f t="shared" si="1"/>
        <v>No</v>
      </c>
      <c r="C55" t="s">
        <v>78</v>
      </c>
      <c r="D55" t="s">
        <v>49</v>
      </c>
      <c r="E55" s="31">
        <v>45905</v>
      </c>
      <c r="F55" s="44" t="s">
        <v>94</v>
      </c>
      <c r="G55" s="44" t="s">
        <v>95</v>
      </c>
      <c r="H55" s="44" t="s">
        <v>103</v>
      </c>
      <c r="I55" s="44" t="s">
        <v>109</v>
      </c>
      <c r="J55" s="44" t="s">
        <v>115</v>
      </c>
      <c r="K55" s="29" t="s">
        <v>92</v>
      </c>
      <c r="L55" t="s">
        <v>35</v>
      </c>
      <c r="M55" t="str">
        <f t="shared" si="2"/>
        <v>NovaEdge Solutions Stationery Material Order month of September -2025</v>
      </c>
      <c r="N55" s="32">
        <v>13614</v>
      </c>
    </row>
    <row r="56" spans="1:14" x14ac:dyDescent="0.2">
      <c r="A56">
        <f t="shared" si="0"/>
        <v>55</v>
      </c>
      <c r="B56" t="str">
        <f t="shared" si="1"/>
        <v>No</v>
      </c>
      <c r="C56" t="s">
        <v>80</v>
      </c>
      <c r="D56" t="s">
        <v>49</v>
      </c>
      <c r="E56" s="31">
        <v>45905</v>
      </c>
      <c r="F56" s="44" t="s">
        <v>94</v>
      </c>
      <c r="G56" s="44" t="s">
        <v>95</v>
      </c>
      <c r="H56" s="44" t="s">
        <v>103</v>
      </c>
      <c r="I56" s="44" t="s">
        <v>109</v>
      </c>
      <c r="J56" s="44" t="s">
        <v>115</v>
      </c>
      <c r="K56" s="29" t="s">
        <v>92</v>
      </c>
      <c r="L56" s="44" t="s">
        <v>34</v>
      </c>
      <c r="M56" t="str">
        <f t="shared" si="2"/>
        <v>NovaEdge Solutions HK Material Order month of September -2025</v>
      </c>
      <c r="N56" s="32">
        <v>765</v>
      </c>
    </row>
    <row r="57" spans="1:14" x14ac:dyDescent="0.2">
      <c r="A57">
        <f t="shared" si="0"/>
        <v>56</v>
      </c>
      <c r="B57" t="str">
        <f t="shared" si="1"/>
        <v>No</v>
      </c>
      <c r="C57" t="s">
        <v>80</v>
      </c>
      <c r="D57" t="s">
        <v>50</v>
      </c>
      <c r="E57" s="31">
        <v>45905</v>
      </c>
      <c r="F57" s="44" t="s">
        <v>94</v>
      </c>
      <c r="G57" s="44" t="s">
        <v>95</v>
      </c>
      <c r="H57" s="44" t="s">
        <v>103</v>
      </c>
      <c r="I57" s="44" t="s">
        <v>109</v>
      </c>
      <c r="J57" s="44" t="s">
        <v>115</v>
      </c>
      <c r="K57" s="29" t="s">
        <v>92</v>
      </c>
      <c r="L57" t="s">
        <v>35</v>
      </c>
      <c r="M57" t="str">
        <f t="shared" si="2"/>
        <v>NovaEdge Solutions Stationery Material Order month of September -2025</v>
      </c>
      <c r="N57" s="32">
        <v>15586</v>
      </c>
    </row>
    <row r="58" spans="1:14" x14ac:dyDescent="0.2">
      <c r="A58">
        <f t="shared" si="0"/>
        <v>57</v>
      </c>
      <c r="B58" t="str">
        <f t="shared" si="1"/>
        <v>No</v>
      </c>
      <c r="C58" t="s">
        <v>77</v>
      </c>
      <c r="D58" s="44" t="s">
        <v>48</v>
      </c>
      <c r="E58" s="31">
        <v>45905</v>
      </c>
      <c r="F58" s="44" t="s">
        <v>94</v>
      </c>
      <c r="G58" s="44" t="s">
        <v>95</v>
      </c>
      <c r="H58" s="44" t="s">
        <v>103</v>
      </c>
      <c r="I58" s="44" t="s">
        <v>109</v>
      </c>
      <c r="J58" s="44" t="s">
        <v>115</v>
      </c>
      <c r="K58" s="29" t="s">
        <v>92</v>
      </c>
      <c r="L58" t="s">
        <v>35</v>
      </c>
      <c r="M58" t="str">
        <f t="shared" si="2"/>
        <v>NovaEdge Solutions Stationery Material Order month of September -2025</v>
      </c>
      <c r="N58" s="32">
        <v>3189.75</v>
      </c>
    </row>
    <row r="59" spans="1:14" x14ac:dyDescent="0.2">
      <c r="A59">
        <f t="shared" si="0"/>
        <v>58</v>
      </c>
      <c r="B59" t="str">
        <f t="shared" si="1"/>
        <v>No</v>
      </c>
      <c r="C59" t="s">
        <v>87</v>
      </c>
      <c r="D59" s="44" t="s">
        <v>48</v>
      </c>
      <c r="E59" s="31">
        <v>45905</v>
      </c>
      <c r="F59" s="44" t="s">
        <v>94</v>
      </c>
      <c r="G59" s="44" t="s">
        <v>95</v>
      </c>
      <c r="H59" s="44" t="s">
        <v>103</v>
      </c>
      <c r="I59" s="44" t="s">
        <v>109</v>
      </c>
      <c r="J59" s="44" t="s">
        <v>115</v>
      </c>
      <c r="K59" s="29" t="s">
        <v>92</v>
      </c>
      <c r="L59" s="44" t="s">
        <v>34</v>
      </c>
      <c r="M59" t="str">
        <f t="shared" si="2"/>
        <v>NovaEdge Solutions HK Material Order month of September -2025</v>
      </c>
      <c r="N59" s="32">
        <v>14851</v>
      </c>
    </row>
    <row r="60" spans="1:14" x14ac:dyDescent="0.2">
      <c r="A60">
        <f t="shared" si="0"/>
        <v>59</v>
      </c>
      <c r="B60" t="str">
        <f t="shared" si="1"/>
        <v>No</v>
      </c>
      <c r="C60" t="s">
        <v>87</v>
      </c>
      <c r="D60" s="44" t="s">
        <v>47</v>
      </c>
      <c r="E60" s="31">
        <v>45905</v>
      </c>
      <c r="F60" s="44" t="s">
        <v>94</v>
      </c>
      <c r="G60" s="44" t="s">
        <v>95</v>
      </c>
      <c r="H60" s="44" t="s">
        <v>103</v>
      </c>
      <c r="I60" s="44" t="s">
        <v>109</v>
      </c>
      <c r="J60" s="44" t="s">
        <v>115</v>
      </c>
      <c r="K60" s="29" t="s">
        <v>92</v>
      </c>
      <c r="L60" s="44" t="s">
        <v>34</v>
      </c>
      <c r="M60" t="str">
        <f t="shared" si="2"/>
        <v>NovaEdge Solutions HK Material Order month of September -2025</v>
      </c>
      <c r="N60" s="32">
        <v>3376</v>
      </c>
    </row>
    <row r="61" spans="1:14" x14ac:dyDescent="0.2">
      <c r="A61">
        <f t="shared" si="0"/>
        <v>60</v>
      </c>
      <c r="B61" t="str">
        <f t="shared" si="1"/>
        <v>No</v>
      </c>
      <c r="C61" t="s">
        <v>75</v>
      </c>
      <c r="D61" s="44" t="s">
        <v>48</v>
      </c>
      <c r="E61" s="31">
        <v>45905</v>
      </c>
      <c r="F61" s="44" t="s">
        <v>94</v>
      </c>
      <c r="G61" s="44" t="s">
        <v>95</v>
      </c>
      <c r="H61" s="44" t="s">
        <v>103</v>
      </c>
      <c r="I61" s="44" t="s">
        <v>109</v>
      </c>
      <c r="J61" s="44" t="s">
        <v>115</v>
      </c>
      <c r="K61" s="29" t="s">
        <v>92</v>
      </c>
      <c r="L61" t="s">
        <v>35</v>
      </c>
      <c r="M61" t="str">
        <f t="shared" si="2"/>
        <v>NovaEdge Solutions Stationery Material Order month of September -2025</v>
      </c>
      <c r="N61" s="32">
        <v>4254.5</v>
      </c>
    </row>
    <row r="62" spans="1:14" x14ac:dyDescent="0.2">
      <c r="A62">
        <f t="shared" si="0"/>
        <v>61</v>
      </c>
      <c r="B62" t="str">
        <f t="shared" si="1"/>
        <v>No</v>
      </c>
      <c r="C62" t="s">
        <v>75</v>
      </c>
      <c r="D62" s="44" t="s">
        <v>47</v>
      </c>
      <c r="E62" s="31">
        <v>45905</v>
      </c>
      <c r="F62" s="44" t="s">
        <v>94</v>
      </c>
      <c r="G62" s="44" t="s">
        <v>95</v>
      </c>
      <c r="H62" s="44" t="s">
        <v>103</v>
      </c>
      <c r="I62" s="44" t="s">
        <v>109</v>
      </c>
      <c r="J62" s="44" t="s">
        <v>115</v>
      </c>
      <c r="K62" s="29" t="s">
        <v>92</v>
      </c>
      <c r="L62" s="44" t="s">
        <v>34</v>
      </c>
      <c r="M62" t="str">
        <f t="shared" si="2"/>
        <v>NovaEdge Solutions HK Material Order month of September -2025</v>
      </c>
      <c r="N62" s="32">
        <v>45808</v>
      </c>
    </row>
    <row r="63" spans="1:14" x14ac:dyDescent="0.2">
      <c r="A63">
        <f t="shared" si="0"/>
        <v>62</v>
      </c>
      <c r="B63" t="str">
        <f t="shared" si="1"/>
        <v>No</v>
      </c>
      <c r="C63" t="s">
        <v>75</v>
      </c>
      <c r="D63" s="44" t="s">
        <v>46</v>
      </c>
      <c r="E63" s="31">
        <v>45915</v>
      </c>
      <c r="F63" s="44" t="s">
        <v>94</v>
      </c>
      <c r="G63" s="44" t="s">
        <v>95</v>
      </c>
      <c r="H63" s="44" t="s">
        <v>103</v>
      </c>
      <c r="I63" s="44" t="s">
        <v>109</v>
      </c>
      <c r="J63" s="44" t="s">
        <v>115</v>
      </c>
      <c r="K63" s="29" t="s">
        <v>93</v>
      </c>
      <c r="L63" s="29" t="s">
        <v>68</v>
      </c>
      <c r="M63" t="str">
        <f t="shared" si="2"/>
        <v>AquaLeaf Drinks Coffee Material Order month of September -2025</v>
      </c>
      <c r="N63" s="32">
        <v>40000</v>
      </c>
    </row>
    <row r="64" spans="1:14" x14ac:dyDescent="0.2">
      <c r="A64">
        <f t="shared" si="0"/>
        <v>63</v>
      </c>
      <c r="B64" t="str">
        <f t="shared" si="1"/>
        <v>No</v>
      </c>
      <c r="C64" t="s">
        <v>75</v>
      </c>
      <c r="D64" s="44" t="s">
        <v>51</v>
      </c>
      <c r="E64" s="31">
        <v>45910</v>
      </c>
      <c r="F64" s="44" t="s">
        <v>94</v>
      </c>
      <c r="G64" s="44" t="s">
        <v>95</v>
      </c>
      <c r="H64" s="44" t="s">
        <v>103</v>
      </c>
      <c r="I64" s="44" t="s">
        <v>109</v>
      </c>
      <c r="J64" s="44" t="s">
        <v>115</v>
      </c>
      <c r="K64" s="29" t="s">
        <v>91</v>
      </c>
      <c r="L64" s="29" t="s">
        <v>68</v>
      </c>
      <c r="M64" t="str">
        <f t="shared" si="2"/>
        <v>Orion TradeCorp Coffee Material Order month of September -2025</v>
      </c>
      <c r="N64" s="32">
        <v>16070</v>
      </c>
    </row>
    <row r="65" spans="1:14" x14ac:dyDescent="0.2">
      <c r="A65">
        <f t="shared" si="0"/>
        <v>64</v>
      </c>
      <c r="B65" t="str">
        <f t="shared" si="1"/>
        <v>No</v>
      </c>
      <c r="C65" t="s">
        <v>87</v>
      </c>
      <c r="D65" s="44" t="s">
        <v>46</v>
      </c>
      <c r="E65" s="31">
        <v>45910</v>
      </c>
      <c r="F65" s="44" t="s">
        <v>94</v>
      </c>
      <c r="G65" s="44" t="s">
        <v>95</v>
      </c>
      <c r="H65" s="44" t="s">
        <v>103</v>
      </c>
      <c r="I65" s="44" t="s">
        <v>109</v>
      </c>
      <c r="J65" s="44" t="s">
        <v>115</v>
      </c>
      <c r="K65" s="29" t="s">
        <v>91</v>
      </c>
      <c r="L65" s="29" t="s">
        <v>68</v>
      </c>
      <c r="M65" t="str">
        <f t="shared" si="2"/>
        <v>Orion TradeCorp Coffee Material Order month of September -2025</v>
      </c>
      <c r="N65" s="32">
        <v>20385</v>
      </c>
    </row>
    <row r="66" spans="1:14" x14ac:dyDescent="0.2">
      <c r="A66">
        <f t="shared" si="0"/>
        <v>65</v>
      </c>
      <c r="B66" t="str">
        <f t="shared" si="1"/>
        <v>No</v>
      </c>
      <c r="C66" t="s">
        <v>70</v>
      </c>
      <c r="D66" s="44" t="s">
        <v>48</v>
      </c>
      <c r="E66" s="31">
        <v>45910</v>
      </c>
      <c r="F66" s="44" t="s">
        <v>94</v>
      </c>
      <c r="G66" s="44" t="s">
        <v>95</v>
      </c>
      <c r="H66" s="44" t="s">
        <v>103</v>
      </c>
      <c r="I66" s="44" t="s">
        <v>109</v>
      </c>
      <c r="J66" s="44" t="s">
        <v>115</v>
      </c>
      <c r="K66" s="29" t="s">
        <v>91</v>
      </c>
      <c r="L66" s="29" t="s">
        <v>68</v>
      </c>
      <c r="M66" t="str">
        <f t="shared" si="2"/>
        <v>Orion TradeCorp Coffee Material Order month of September -2025</v>
      </c>
      <c r="N66" s="32">
        <v>2302</v>
      </c>
    </row>
    <row r="67" spans="1:14" x14ac:dyDescent="0.2">
      <c r="A67">
        <f t="shared" ref="A67:A120" si="3">ROW()-1</f>
        <v>66</v>
      </c>
      <c r="B67" t="str">
        <f t="shared" si="1"/>
        <v>No</v>
      </c>
      <c r="C67" t="s">
        <v>83</v>
      </c>
      <c r="D67" s="44" t="s">
        <v>52</v>
      </c>
      <c r="E67" s="31">
        <v>45936</v>
      </c>
      <c r="F67" s="44" t="s">
        <v>94</v>
      </c>
      <c r="G67" s="44" t="s">
        <v>95</v>
      </c>
      <c r="H67" s="44" t="s">
        <v>103</v>
      </c>
      <c r="I67" s="44" t="s">
        <v>109</v>
      </c>
      <c r="J67" s="44" t="s">
        <v>115</v>
      </c>
      <c r="K67" s="29" t="s">
        <v>92</v>
      </c>
      <c r="L67" s="29" t="s">
        <v>34</v>
      </c>
      <c r="M67" t="str">
        <f t="shared" si="2"/>
        <v>NovaEdge Solutions HK Material Order month of October -2025</v>
      </c>
      <c r="N67" s="32">
        <v>50867</v>
      </c>
    </row>
    <row r="68" spans="1:14" x14ac:dyDescent="0.2">
      <c r="A68">
        <f t="shared" si="3"/>
        <v>67</v>
      </c>
      <c r="B68" t="str">
        <f t="shared" ref="B68:B120" si="4">IF(COUNTIFS(C:C,C68,D:D,D68)&gt;1,"Its Duplicate","No")</f>
        <v>No</v>
      </c>
      <c r="C68" t="s">
        <v>83</v>
      </c>
      <c r="D68" s="44" t="s">
        <v>53</v>
      </c>
      <c r="E68" s="31">
        <v>45936</v>
      </c>
      <c r="F68" s="44" t="s">
        <v>94</v>
      </c>
      <c r="G68" s="44" t="s">
        <v>95</v>
      </c>
      <c r="H68" s="44" t="s">
        <v>103</v>
      </c>
      <c r="I68" s="44" t="s">
        <v>109</v>
      </c>
      <c r="J68" s="44" t="s">
        <v>115</v>
      </c>
      <c r="K68" s="29" t="s">
        <v>92</v>
      </c>
      <c r="L68" s="29" t="s">
        <v>35</v>
      </c>
      <c r="M68" t="str">
        <f t="shared" ref="M68:M119" si="5">IFERROR(IF(OR(E68="",K68="",L68=""),"",
K68&amp;" "&amp;L68&amp;" Order month of "&amp;TEXT(E68,"mmmm -yyyy"))," ")</f>
        <v>NovaEdge Solutions Stationery Material Order month of October -2025</v>
      </c>
      <c r="N68" s="32">
        <v>25024</v>
      </c>
    </row>
    <row r="69" spans="1:14" x14ac:dyDescent="0.2">
      <c r="A69">
        <f t="shared" si="3"/>
        <v>68</v>
      </c>
      <c r="B69" t="str">
        <f t="shared" si="4"/>
        <v>No</v>
      </c>
      <c r="C69" t="s">
        <v>70</v>
      </c>
      <c r="D69" s="44" t="s">
        <v>52</v>
      </c>
      <c r="E69" s="31">
        <v>45932</v>
      </c>
      <c r="F69" s="44" t="s">
        <v>94</v>
      </c>
      <c r="G69" s="44" t="s">
        <v>95</v>
      </c>
      <c r="H69" s="44" t="s">
        <v>103</v>
      </c>
      <c r="I69" s="44" t="s">
        <v>109</v>
      </c>
      <c r="J69" s="44" t="s">
        <v>115</v>
      </c>
      <c r="K69" s="29" t="s">
        <v>92</v>
      </c>
      <c r="L69" t="s">
        <v>35</v>
      </c>
      <c r="M69" t="str">
        <f t="shared" si="5"/>
        <v>NovaEdge Solutions Stationery Material Order month of October -2025</v>
      </c>
      <c r="N69" s="32">
        <v>128</v>
      </c>
    </row>
    <row r="70" spans="1:14" x14ac:dyDescent="0.2">
      <c r="A70">
        <f t="shared" si="3"/>
        <v>69</v>
      </c>
      <c r="B70" t="str">
        <f t="shared" si="4"/>
        <v>No</v>
      </c>
      <c r="C70" t="s">
        <v>70</v>
      </c>
      <c r="D70" s="44" t="s">
        <v>53</v>
      </c>
      <c r="E70" s="31">
        <v>45932</v>
      </c>
      <c r="F70" s="44" t="s">
        <v>94</v>
      </c>
      <c r="G70" s="44" t="s">
        <v>95</v>
      </c>
      <c r="H70" s="44" t="s">
        <v>103</v>
      </c>
      <c r="I70" s="44" t="s">
        <v>109</v>
      </c>
      <c r="J70" s="44" t="s">
        <v>115</v>
      </c>
      <c r="K70" s="29" t="s">
        <v>92</v>
      </c>
      <c r="L70" s="44" t="s">
        <v>34</v>
      </c>
      <c r="M70" t="str">
        <f t="shared" si="5"/>
        <v>NovaEdge Solutions HK Material Order month of October -2025</v>
      </c>
      <c r="N70" s="32">
        <v>19506</v>
      </c>
    </row>
    <row r="71" spans="1:14" x14ac:dyDescent="0.2">
      <c r="A71">
        <f t="shared" si="3"/>
        <v>70</v>
      </c>
      <c r="B71" t="str">
        <f t="shared" si="4"/>
        <v>No</v>
      </c>
      <c r="C71" t="s">
        <v>78</v>
      </c>
      <c r="D71" t="s">
        <v>54</v>
      </c>
      <c r="E71" s="31">
        <v>45932</v>
      </c>
      <c r="F71" s="44" t="s">
        <v>94</v>
      </c>
      <c r="G71" s="44" t="s">
        <v>95</v>
      </c>
      <c r="H71" s="44" t="s">
        <v>103</v>
      </c>
      <c r="I71" s="44" t="s">
        <v>109</v>
      </c>
      <c r="J71" s="44" t="s">
        <v>115</v>
      </c>
      <c r="K71" s="29" t="s">
        <v>92</v>
      </c>
      <c r="L71" t="s">
        <v>35</v>
      </c>
      <c r="M71" t="str">
        <f t="shared" si="5"/>
        <v>NovaEdge Solutions Stationery Material Order month of October -2025</v>
      </c>
      <c r="N71" s="32">
        <v>2835</v>
      </c>
    </row>
    <row r="72" spans="1:14" x14ac:dyDescent="0.2">
      <c r="A72">
        <f t="shared" si="3"/>
        <v>71</v>
      </c>
      <c r="B72" t="str">
        <f t="shared" si="4"/>
        <v>No</v>
      </c>
      <c r="C72" t="s">
        <v>72</v>
      </c>
      <c r="D72" s="44" t="s">
        <v>52</v>
      </c>
      <c r="E72" s="31">
        <v>45936</v>
      </c>
      <c r="F72" s="44" t="s">
        <v>94</v>
      </c>
      <c r="G72" s="44" t="s">
        <v>95</v>
      </c>
      <c r="H72" s="44" t="s">
        <v>103</v>
      </c>
      <c r="I72" s="44" t="s">
        <v>109</v>
      </c>
      <c r="J72" s="44" t="s">
        <v>115</v>
      </c>
      <c r="K72" s="29" t="s">
        <v>92</v>
      </c>
      <c r="L72" t="s">
        <v>35</v>
      </c>
      <c r="M72" t="str">
        <f t="shared" si="5"/>
        <v>NovaEdge Solutions Stationery Material Order month of October -2025</v>
      </c>
      <c r="N72" s="32">
        <v>5924</v>
      </c>
    </row>
    <row r="73" spans="1:14" x14ac:dyDescent="0.2">
      <c r="A73">
        <f t="shared" si="3"/>
        <v>72</v>
      </c>
      <c r="B73" t="str">
        <f t="shared" si="4"/>
        <v>No</v>
      </c>
      <c r="C73" t="s">
        <v>72</v>
      </c>
      <c r="D73" s="44" t="s">
        <v>53</v>
      </c>
      <c r="E73" s="31">
        <v>45936</v>
      </c>
      <c r="F73" s="44" t="s">
        <v>94</v>
      </c>
      <c r="G73" s="44" t="s">
        <v>95</v>
      </c>
      <c r="H73" s="44" t="s">
        <v>103</v>
      </c>
      <c r="I73" s="44" t="s">
        <v>109</v>
      </c>
      <c r="J73" s="44" t="s">
        <v>115</v>
      </c>
      <c r="K73" s="29" t="s">
        <v>92</v>
      </c>
      <c r="L73" t="s">
        <v>34</v>
      </c>
      <c r="M73" t="str">
        <f t="shared" si="5"/>
        <v>NovaEdge Solutions HK Material Order month of October -2025</v>
      </c>
      <c r="N73" s="32">
        <v>8750</v>
      </c>
    </row>
    <row r="74" spans="1:14" x14ac:dyDescent="0.2">
      <c r="A74">
        <f t="shared" si="3"/>
        <v>73</v>
      </c>
      <c r="B74" t="str">
        <f t="shared" si="4"/>
        <v>No</v>
      </c>
      <c r="C74" t="s">
        <v>80</v>
      </c>
      <c r="D74" t="s">
        <v>54</v>
      </c>
      <c r="E74" s="31">
        <v>45936</v>
      </c>
      <c r="F74" s="44" t="s">
        <v>94</v>
      </c>
      <c r="G74" s="44" t="s">
        <v>95</v>
      </c>
      <c r="H74" s="44" t="s">
        <v>103</v>
      </c>
      <c r="I74" s="44" t="s">
        <v>109</v>
      </c>
      <c r="J74" s="44" t="s">
        <v>115</v>
      </c>
      <c r="K74" s="29" t="s">
        <v>92</v>
      </c>
      <c r="L74" s="44" t="s">
        <v>34</v>
      </c>
      <c r="M74" t="str">
        <f t="shared" si="5"/>
        <v>NovaEdge Solutions HK Material Order month of October -2025</v>
      </c>
      <c r="N74" s="32">
        <v>2530</v>
      </c>
    </row>
    <row r="75" spans="1:14" x14ac:dyDescent="0.2">
      <c r="A75">
        <f t="shared" si="3"/>
        <v>74</v>
      </c>
      <c r="B75" t="str">
        <f t="shared" si="4"/>
        <v>No</v>
      </c>
      <c r="C75" t="s">
        <v>80</v>
      </c>
      <c r="D75" t="s">
        <v>55</v>
      </c>
      <c r="E75" s="31">
        <v>45936</v>
      </c>
      <c r="F75" s="44" t="s">
        <v>94</v>
      </c>
      <c r="G75" s="44" t="s">
        <v>95</v>
      </c>
      <c r="H75" s="44" t="s">
        <v>103</v>
      </c>
      <c r="I75" s="44" t="s">
        <v>109</v>
      </c>
      <c r="J75" s="44" t="s">
        <v>115</v>
      </c>
      <c r="K75" s="29" t="s">
        <v>92</v>
      </c>
      <c r="L75" t="s">
        <v>35</v>
      </c>
      <c r="M75" t="str">
        <f t="shared" si="5"/>
        <v>NovaEdge Solutions Stationery Material Order month of October -2025</v>
      </c>
      <c r="N75" s="32">
        <v>10105</v>
      </c>
    </row>
    <row r="76" spans="1:14" x14ac:dyDescent="0.2">
      <c r="A76">
        <f t="shared" si="3"/>
        <v>75</v>
      </c>
      <c r="B76" t="str">
        <f t="shared" si="4"/>
        <v>No</v>
      </c>
      <c r="C76" t="s">
        <v>82</v>
      </c>
      <c r="D76" t="s">
        <v>54</v>
      </c>
      <c r="E76" s="31">
        <v>45934</v>
      </c>
      <c r="F76" s="44" t="s">
        <v>94</v>
      </c>
      <c r="G76" s="44" t="s">
        <v>95</v>
      </c>
      <c r="H76" s="44" t="s">
        <v>103</v>
      </c>
      <c r="I76" s="44" t="s">
        <v>109</v>
      </c>
      <c r="J76" s="44" t="s">
        <v>115</v>
      </c>
      <c r="K76" s="29" t="s">
        <v>91</v>
      </c>
      <c r="L76" s="29" t="s">
        <v>68</v>
      </c>
      <c r="M76" t="str">
        <f t="shared" si="5"/>
        <v>Orion TradeCorp Coffee Material Order month of October -2025</v>
      </c>
      <c r="N76" s="32">
        <v>15320</v>
      </c>
    </row>
    <row r="77" spans="1:14" x14ac:dyDescent="0.2">
      <c r="A77">
        <f t="shared" si="3"/>
        <v>76</v>
      </c>
      <c r="B77" t="str">
        <f t="shared" si="4"/>
        <v>No</v>
      </c>
      <c r="C77" t="s">
        <v>75</v>
      </c>
      <c r="D77" s="44" t="s">
        <v>52</v>
      </c>
      <c r="E77" s="31">
        <v>45940</v>
      </c>
      <c r="F77" s="44" t="s">
        <v>94</v>
      </c>
      <c r="G77" s="44" t="s">
        <v>95</v>
      </c>
      <c r="H77" s="44" t="s">
        <v>103</v>
      </c>
      <c r="I77" s="44" t="s">
        <v>109</v>
      </c>
      <c r="J77" s="44" t="s">
        <v>115</v>
      </c>
      <c r="K77" s="29" t="s">
        <v>91</v>
      </c>
      <c r="L77" s="29" t="s">
        <v>68</v>
      </c>
      <c r="M77" t="str">
        <f t="shared" si="5"/>
        <v>Orion TradeCorp Coffee Material Order month of October -2025</v>
      </c>
      <c r="N77" s="32">
        <v>14775</v>
      </c>
    </row>
    <row r="78" spans="1:14" x14ac:dyDescent="0.2">
      <c r="A78">
        <f t="shared" si="3"/>
        <v>77</v>
      </c>
      <c r="B78" t="str">
        <f t="shared" si="4"/>
        <v>No</v>
      </c>
      <c r="C78" t="s">
        <v>75</v>
      </c>
      <c r="D78" s="44" t="s">
        <v>53</v>
      </c>
      <c r="E78" s="31">
        <v>45936</v>
      </c>
      <c r="F78" s="44" t="s">
        <v>94</v>
      </c>
      <c r="G78" s="44" t="s">
        <v>95</v>
      </c>
      <c r="H78" s="44" t="s">
        <v>103</v>
      </c>
      <c r="I78" s="44" t="s">
        <v>109</v>
      </c>
      <c r="J78" s="44" t="s">
        <v>115</v>
      </c>
      <c r="K78" s="29" t="s">
        <v>93</v>
      </c>
      <c r="L78" s="29" t="s">
        <v>68</v>
      </c>
      <c r="M78" t="str">
        <f t="shared" si="5"/>
        <v>AquaLeaf Drinks Coffee Material Order month of October -2025</v>
      </c>
      <c r="N78" s="32">
        <v>48000</v>
      </c>
    </row>
    <row r="79" spans="1:14" x14ac:dyDescent="0.2">
      <c r="A79">
        <f t="shared" si="3"/>
        <v>78</v>
      </c>
      <c r="B79" t="str">
        <f t="shared" si="4"/>
        <v>No</v>
      </c>
      <c r="C79" t="s">
        <v>75</v>
      </c>
      <c r="D79" s="44" t="s">
        <v>57</v>
      </c>
      <c r="E79" s="31">
        <v>45932</v>
      </c>
      <c r="F79" s="44" t="s">
        <v>94</v>
      </c>
      <c r="G79" s="44" t="s">
        <v>95</v>
      </c>
      <c r="H79" s="44" t="s">
        <v>103</v>
      </c>
      <c r="I79" s="44" t="s">
        <v>109</v>
      </c>
      <c r="J79" s="44" t="s">
        <v>115</v>
      </c>
      <c r="K79" s="29" t="s">
        <v>92</v>
      </c>
      <c r="L79" t="s">
        <v>35</v>
      </c>
      <c r="M79" t="str">
        <f t="shared" si="5"/>
        <v>NovaEdge Solutions Stationery Material Order month of October -2025</v>
      </c>
      <c r="N79" s="32">
        <v>4468</v>
      </c>
    </row>
    <row r="80" spans="1:14" x14ac:dyDescent="0.2">
      <c r="A80">
        <f t="shared" si="3"/>
        <v>79</v>
      </c>
      <c r="B80" t="str">
        <f t="shared" si="4"/>
        <v>No</v>
      </c>
      <c r="C80" t="s">
        <v>75</v>
      </c>
      <c r="D80" s="44" t="s">
        <v>56</v>
      </c>
      <c r="E80" s="31">
        <v>45932</v>
      </c>
      <c r="F80" s="44" t="s">
        <v>94</v>
      </c>
      <c r="G80" s="44" t="s">
        <v>95</v>
      </c>
      <c r="H80" s="44" t="s">
        <v>103</v>
      </c>
      <c r="I80" s="44" t="s">
        <v>109</v>
      </c>
      <c r="J80" s="44" t="s">
        <v>115</v>
      </c>
      <c r="K80" s="29" t="s">
        <v>92</v>
      </c>
      <c r="L80" s="44" t="s">
        <v>34</v>
      </c>
      <c r="M80" t="str">
        <f t="shared" si="5"/>
        <v>NovaEdge Solutions HK Material Order month of October -2025</v>
      </c>
      <c r="N80" s="32">
        <v>46465</v>
      </c>
    </row>
    <row r="81" spans="1:14" x14ac:dyDescent="0.2">
      <c r="A81">
        <f t="shared" si="3"/>
        <v>80</v>
      </c>
      <c r="B81" t="str">
        <f t="shared" si="4"/>
        <v>No</v>
      </c>
      <c r="C81" t="s">
        <v>87</v>
      </c>
      <c r="D81" s="44" t="s">
        <v>52</v>
      </c>
      <c r="E81" s="31">
        <v>45939</v>
      </c>
      <c r="F81" s="44" t="s">
        <v>94</v>
      </c>
      <c r="G81" s="44" t="s">
        <v>95</v>
      </c>
      <c r="H81" s="44" t="s">
        <v>103</v>
      </c>
      <c r="I81" s="44" t="s">
        <v>109</v>
      </c>
      <c r="J81" s="44" t="s">
        <v>115</v>
      </c>
      <c r="K81" s="29" t="s">
        <v>92</v>
      </c>
      <c r="L81" t="s">
        <v>34</v>
      </c>
      <c r="M81" t="str">
        <f t="shared" si="5"/>
        <v>NovaEdge Solutions HK Material Order month of October -2025</v>
      </c>
      <c r="N81" s="32">
        <v>4378</v>
      </c>
    </row>
    <row r="82" spans="1:14" x14ac:dyDescent="0.2">
      <c r="A82">
        <f t="shared" si="3"/>
        <v>81</v>
      </c>
      <c r="B82" t="str">
        <f t="shared" si="4"/>
        <v>No</v>
      </c>
      <c r="C82" t="s">
        <v>87</v>
      </c>
      <c r="D82" s="44" t="s">
        <v>53</v>
      </c>
      <c r="E82" s="31">
        <v>45939</v>
      </c>
      <c r="F82" s="44" t="s">
        <v>94</v>
      </c>
      <c r="G82" s="44" t="s">
        <v>95</v>
      </c>
      <c r="H82" s="44" t="s">
        <v>103</v>
      </c>
      <c r="I82" s="44" t="s">
        <v>109</v>
      </c>
      <c r="J82" s="44" t="s">
        <v>115</v>
      </c>
      <c r="K82" s="29" t="s">
        <v>92</v>
      </c>
      <c r="L82" t="s">
        <v>35</v>
      </c>
      <c r="M82" t="str">
        <f t="shared" si="5"/>
        <v>NovaEdge Solutions Stationery Material Order month of October -2025</v>
      </c>
      <c r="N82" s="32">
        <v>500</v>
      </c>
    </row>
    <row r="83" spans="1:14" x14ac:dyDescent="0.2">
      <c r="A83">
        <f t="shared" si="3"/>
        <v>82</v>
      </c>
      <c r="B83" t="str">
        <f t="shared" si="4"/>
        <v>No</v>
      </c>
      <c r="C83" t="s">
        <v>87</v>
      </c>
      <c r="D83" s="44" t="s">
        <v>57</v>
      </c>
      <c r="E83" s="31">
        <v>45939</v>
      </c>
      <c r="F83" s="44" t="s">
        <v>94</v>
      </c>
      <c r="G83" s="44" t="s">
        <v>95</v>
      </c>
      <c r="H83" s="44" t="s">
        <v>103</v>
      </c>
      <c r="I83" s="44" t="s">
        <v>109</v>
      </c>
      <c r="J83" s="44" t="s">
        <v>115</v>
      </c>
      <c r="K83" s="29" t="s">
        <v>91</v>
      </c>
      <c r="L83" s="29" t="s">
        <v>68</v>
      </c>
      <c r="M83" t="str">
        <f t="shared" si="5"/>
        <v>Orion TradeCorp Coffee Material Order month of October -2025</v>
      </c>
      <c r="N83" s="32">
        <v>16180</v>
      </c>
    </row>
    <row r="84" spans="1:14" x14ac:dyDescent="0.2">
      <c r="A84">
        <f t="shared" si="3"/>
        <v>83</v>
      </c>
      <c r="B84" t="str">
        <f t="shared" si="4"/>
        <v>No</v>
      </c>
      <c r="C84" t="s">
        <v>83</v>
      </c>
      <c r="D84" s="44" t="s">
        <v>58</v>
      </c>
      <c r="E84" s="31">
        <v>45965</v>
      </c>
      <c r="F84" s="44" t="s">
        <v>94</v>
      </c>
      <c r="G84" s="44" t="s">
        <v>95</v>
      </c>
      <c r="H84" s="44" t="s">
        <v>103</v>
      </c>
      <c r="I84" s="44" t="s">
        <v>109</v>
      </c>
      <c r="J84" s="44" t="s">
        <v>115</v>
      </c>
      <c r="K84" s="29" t="s">
        <v>92</v>
      </c>
      <c r="L84" s="29" t="s">
        <v>69</v>
      </c>
      <c r="M84" t="str">
        <f t="shared" si="5"/>
        <v>NovaEdge Solutions Medicine Material Order month of November -2025</v>
      </c>
      <c r="N84" s="32">
        <v>1528</v>
      </c>
    </row>
    <row r="85" spans="1:14" x14ac:dyDescent="0.2">
      <c r="A85">
        <f t="shared" si="3"/>
        <v>84</v>
      </c>
      <c r="B85" t="str">
        <f t="shared" si="4"/>
        <v>No</v>
      </c>
      <c r="C85" t="s">
        <v>83</v>
      </c>
      <c r="D85" s="44" t="s">
        <v>59</v>
      </c>
      <c r="E85" s="31">
        <v>45965</v>
      </c>
      <c r="F85" s="44" t="s">
        <v>94</v>
      </c>
      <c r="G85" s="44" t="s">
        <v>95</v>
      </c>
      <c r="H85" s="44" t="s">
        <v>103</v>
      </c>
      <c r="I85" s="44" t="s">
        <v>109</v>
      </c>
      <c r="J85" s="44" t="s">
        <v>115</v>
      </c>
      <c r="K85" s="29" t="s">
        <v>92</v>
      </c>
      <c r="L85" s="29" t="s">
        <v>35</v>
      </c>
      <c r="M85" t="str">
        <f t="shared" si="5"/>
        <v>NovaEdge Solutions Stationery Material Order month of November -2025</v>
      </c>
      <c r="N85" s="32">
        <v>27155</v>
      </c>
    </row>
    <row r="86" spans="1:14" x14ac:dyDescent="0.2">
      <c r="A86">
        <f t="shared" si="3"/>
        <v>85</v>
      </c>
      <c r="B86" t="str">
        <f t="shared" si="4"/>
        <v>No</v>
      </c>
      <c r="C86" t="s">
        <v>83</v>
      </c>
      <c r="D86" s="44" t="s">
        <v>62</v>
      </c>
      <c r="E86" s="31">
        <v>45968</v>
      </c>
      <c r="F86" s="44" t="s">
        <v>94</v>
      </c>
      <c r="G86" s="44" t="s">
        <v>95</v>
      </c>
      <c r="H86" s="44" t="s">
        <v>103</v>
      </c>
      <c r="I86" s="44" t="s">
        <v>109</v>
      </c>
      <c r="J86" s="44" t="s">
        <v>115</v>
      </c>
      <c r="K86" s="29" t="s">
        <v>92</v>
      </c>
      <c r="L86" s="29" t="s">
        <v>34</v>
      </c>
      <c r="M86" t="str">
        <f t="shared" si="5"/>
        <v>NovaEdge Solutions HK Material Order month of November -2025</v>
      </c>
      <c r="N86" s="32">
        <v>49191</v>
      </c>
    </row>
    <row r="87" spans="1:14" x14ac:dyDescent="0.2">
      <c r="A87">
        <f t="shared" si="3"/>
        <v>86</v>
      </c>
      <c r="B87" t="str">
        <f t="shared" si="4"/>
        <v>No</v>
      </c>
      <c r="C87" t="s">
        <v>70</v>
      </c>
      <c r="D87" s="44" t="s">
        <v>58</v>
      </c>
      <c r="E87" s="31">
        <v>45962</v>
      </c>
      <c r="F87" s="44" t="s">
        <v>94</v>
      </c>
      <c r="G87" s="44" t="s">
        <v>95</v>
      </c>
      <c r="H87" s="44" t="s">
        <v>103</v>
      </c>
      <c r="I87" s="44" t="s">
        <v>109</v>
      </c>
      <c r="J87" s="44" t="s">
        <v>115</v>
      </c>
      <c r="K87" s="29" t="s">
        <v>92</v>
      </c>
      <c r="L87" t="s">
        <v>35</v>
      </c>
      <c r="M87" t="str">
        <f t="shared" si="5"/>
        <v>NovaEdge Solutions Stationery Material Order month of November -2025</v>
      </c>
      <c r="N87" s="32">
        <v>140</v>
      </c>
    </row>
    <row r="88" spans="1:14" x14ac:dyDescent="0.2">
      <c r="A88">
        <f t="shared" si="3"/>
        <v>87</v>
      </c>
      <c r="B88" t="str">
        <f t="shared" si="4"/>
        <v>No</v>
      </c>
      <c r="C88" t="s">
        <v>70</v>
      </c>
      <c r="D88" s="44" t="s">
        <v>59</v>
      </c>
      <c r="E88" s="31">
        <v>45962</v>
      </c>
      <c r="F88" s="44" t="s">
        <v>94</v>
      </c>
      <c r="G88" s="44" t="s">
        <v>95</v>
      </c>
      <c r="H88" s="44" t="s">
        <v>103</v>
      </c>
      <c r="I88" s="44" t="s">
        <v>109</v>
      </c>
      <c r="J88" s="44" t="s">
        <v>115</v>
      </c>
      <c r="K88" s="29" t="s">
        <v>92</v>
      </c>
      <c r="L88" s="44" t="s">
        <v>34</v>
      </c>
      <c r="M88" t="str">
        <f t="shared" si="5"/>
        <v>NovaEdge Solutions HK Material Order month of November -2025</v>
      </c>
      <c r="N88" s="32">
        <v>17707</v>
      </c>
    </row>
    <row r="89" spans="1:14" x14ac:dyDescent="0.2">
      <c r="A89">
        <f t="shared" si="3"/>
        <v>88</v>
      </c>
      <c r="B89" t="str">
        <f t="shared" si="4"/>
        <v>No</v>
      </c>
      <c r="C89" t="s">
        <v>72</v>
      </c>
      <c r="D89" s="44" t="s">
        <v>58</v>
      </c>
      <c r="E89" s="31">
        <v>45966</v>
      </c>
      <c r="F89" s="44" t="s">
        <v>94</v>
      </c>
      <c r="G89" s="44" t="s">
        <v>95</v>
      </c>
      <c r="H89" s="44" t="s">
        <v>103</v>
      </c>
      <c r="I89" s="44" t="s">
        <v>109</v>
      </c>
      <c r="J89" s="44" t="s">
        <v>115</v>
      </c>
      <c r="K89" s="29" t="s">
        <v>92</v>
      </c>
      <c r="L89" t="s">
        <v>35</v>
      </c>
      <c r="M89" t="str">
        <f t="shared" si="5"/>
        <v>NovaEdge Solutions Stationery Material Order month of November -2025</v>
      </c>
      <c r="N89" s="32">
        <v>13932</v>
      </c>
    </row>
    <row r="90" spans="1:14" x14ac:dyDescent="0.2">
      <c r="A90">
        <f t="shared" si="3"/>
        <v>89</v>
      </c>
      <c r="B90" t="str">
        <f t="shared" si="4"/>
        <v>No</v>
      </c>
      <c r="C90" t="s">
        <v>72</v>
      </c>
      <c r="D90" s="44" t="s">
        <v>59</v>
      </c>
      <c r="E90" s="31">
        <v>45966</v>
      </c>
      <c r="F90" s="44" t="s">
        <v>94</v>
      </c>
      <c r="G90" s="44" t="s">
        <v>95</v>
      </c>
      <c r="H90" s="44" t="s">
        <v>103</v>
      </c>
      <c r="I90" s="44" t="s">
        <v>109</v>
      </c>
      <c r="J90" s="44" t="s">
        <v>115</v>
      </c>
      <c r="K90" s="29" t="s">
        <v>92</v>
      </c>
      <c r="L90" t="s">
        <v>34</v>
      </c>
      <c r="M90" t="str">
        <f t="shared" si="5"/>
        <v>NovaEdge Solutions HK Material Order month of November -2025</v>
      </c>
      <c r="N90" s="32">
        <v>0</v>
      </c>
    </row>
    <row r="91" spans="1:14" x14ac:dyDescent="0.2">
      <c r="A91">
        <f t="shared" si="3"/>
        <v>90</v>
      </c>
      <c r="B91" t="str">
        <f t="shared" si="4"/>
        <v>No</v>
      </c>
      <c r="C91" t="s">
        <v>75</v>
      </c>
      <c r="D91" s="44" t="s">
        <v>58</v>
      </c>
      <c r="E91" s="31">
        <v>45966</v>
      </c>
      <c r="F91" s="44" t="s">
        <v>94</v>
      </c>
      <c r="G91" s="44" t="s">
        <v>95</v>
      </c>
      <c r="H91" s="44" t="s">
        <v>103</v>
      </c>
      <c r="I91" s="44" t="s">
        <v>109</v>
      </c>
      <c r="J91" s="44" t="s">
        <v>115</v>
      </c>
      <c r="K91" s="29" t="s">
        <v>92</v>
      </c>
      <c r="L91" t="s">
        <v>35</v>
      </c>
      <c r="M91" t="str">
        <f t="shared" si="5"/>
        <v>NovaEdge Solutions Stationery Material Order month of November -2025</v>
      </c>
      <c r="N91" s="32">
        <v>1426</v>
      </c>
    </row>
    <row r="92" spans="1:14" x14ac:dyDescent="0.2">
      <c r="A92">
        <f t="shared" si="3"/>
        <v>91</v>
      </c>
      <c r="B92" t="str">
        <f t="shared" si="4"/>
        <v>No</v>
      </c>
      <c r="C92" t="s">
        <v>75</v>
      </c>
      <c r="D92" s="44" t="s">
        <v>59</v>
      </c>
      <c r="E92" s="31">
        <v>45966</v>
      </c>
      <c r="F92" s="44" t="s">
        <v>94</v>
      </c>
      <c r="G92" s="44" t="s">
        <v>95</v>
      </c>
      <c r="H92" s="44" t="s">
        <v>103</v>
      </c>
      <c r="I92" s="44" t="s">
        <v>109</v>
      </c>
      <c r="J92" s="44" t="s">
        <v>115</v>
      </c>
      <c r="K92" s="29" t="s">
        <v>92</v>
      </c>
      <c r="L92" s="44" t="s">
        <v>34</v>
      </c>
      <c r="M92" t="str">
        <f t="shared" si="5"/>
        <v>NovaEdge Solutions HK Material Order month of November -2025</v>
      </c>
      <c r="N92" s="32">
        <v>41400</v>
      </c>
    </row>
    <row r="93" spans="1:14" x14ac:dyDescent="0.2">
      <c r="A93">
        <f t="shared" si="3"/>
        <v>92</v>
      </c>
      <c r="B93" t="str">
        <f t="shared" si="4"/>
        <v>No</v>
      </c>
      <c r="C93" t="s">
        <v>80</v>
      </c>
      <c r="D93" s="44" t="s">
        <v>60</v>
      </c>
      <c r="E93" s="31">
        <v>45966</v>
      </c>
      <c r="F93" s="44" t="s">
        <v>94</v>
      </c>
      <c r="G93" s="44" t="s">
        <v>95</v>
      </c>
      <c r="H93" s="44" t="s">
        <v>103</v>
      </c>
      <c r="I93" s="44" t="s">
        <v>109</v>
      </c>
      <c r="J93" s="44" t="s">
        <v>115</v>
      </c>
      <c r="K93" s="29" t="s">
        <v>92</v>
      </c>
      <c r="L93" s="44" t="s">
        <v>34</v>
      </c>
      <c r="M93" t="str">
        <f t="shared" si="5"/>
        <v>NovaEdge Solutions HK Material Order month of November -2025</v>
      </c>
      <c r="N93" s="32">
        <v>1624</v>
      </c>
    </row>
    <row r="94" spans="1:14" x14ac:dyDescent="0.2">
      <c r="A94">
        <f t="shared" si="3"/>
        <v>93</v>
      </c>
      <c r="B94" t="str">
        <f t="shared" si="4"/>
        <v>No</v>
      </c>
      <c r="C94" t="s">
        <v>80</v>
      </c>
      <c r="D94" s="44" t="s">
        <v>61</v>
      </c>
      <c r="E94" s="31">
        <v>45966</v>
      </c>
      <c r="F94" s="44" t="s">
        <v>94</v>
      </c>
      <c r="G94" s="44" t="s">
        <v>95</v>
      </c>
      <c r="H94" s="44" t="s">
        <v>103</v>
      </c>
      <c r="I94" s="44" t="s">
        <v>109</v>
      </c>
      <c r="J94" s="44" t="s">
        <v>115</v>
      </c>
      <c r="K94" s="29" t="s">
        <v>92</v>
      </c>
      <c r="L94" t="s">
        <v>35</v>
      </c>
      <c r="M94" t="str">
        <f t="shared" si="5"/>
        <v>NovaEdge Solutions Stationery Material Order month of November -2025</v>
      </c>
      <c r="N94" s="32">
        <v>1446</v>
      </c>
    </row>
    <row r="95" spans="1:14" x14ac:dyDescent="0.2">
      <c r="A95">
        <f t="shared" si="3"/>
        <v>94</v>
      </c>
      <c r="B95" t="str">
        <f t="shared" si="4"/>
        <v>No</v>
      </c>
      <c r="C95" t="s">
        <v>78</v>
      </c>
      <c r="D95" s="44" t="s">
        <v>60</v>
      </c>
      <c r="E95" s="45">
        <v>45966</v>
      </c>
      <c r="F95" s="44" t="s">
        <v>94</v>
      </c>
      <c r="G95" s="44" t="s">
        <v>95</v>
      </c>
      <c r="H95" s="44" t="s">
        <v>103</v>
      </c>
      <c r="I95" s="44" t="s">
        <v>109</v>
      </c>
      <c r="J95" s="44" t="s">
        <v>115</v>
      </c>
      <c r="K95" s="29" t="s">
        <v>92</v>
      </c>
      <c r="L95" t="s">
        <v>35</v>
      </c>
      <c r="M95" t="str">
        <f t="shared" si="5"/>
        <v>NovaEdge Solutions Stationery Material Order month of November -2025</v>
      </c>
      <c r="N95" s="32">
        <v>5778</v>
      </c>
    </row>
    <row r="96" spans="1:14" x14ac:dyDescent="0.2">
      <c r="A96">
        <f t="shared" si="3"/>
        <v>95</v>
      </c>
      <c r="B96" t="str">
        <f t="shared" si="4"/>
        <v>No</v>
      </c>
      <c r="C96" t="s">
        <v>87</v>
      </c>
      <c r="D96" s="44" t="s">
        <v>58</v>
      </c>
      <c r="E96" s="31">
        <v>45935</v>
      </c>
      <c r="F96" s="44" t="s">
        <v>94</v>
      </c>
      <c r="G96" s="44" t="s">
        <v>95</v>
      </c>
      <c r="H96" s="44" t="s">
        <v>103</v>
      </c>
      <c r="I96" s="44" t="s">
        <v>109</v>
      </c>
      <c r="J96" s="44" t="s">
        <v>115</v>
      </c>
      <c r="K96" s="29" t="s">
        <v>92</v>
      </c>
      <c r="L96" t="s">
        <v>34</v>
      </c>
      <c r="M96" t="str">
        <f t="shared" si="5"/>
        <v>NovaEdge Solutions HK Material Order month of October -2025</v>
      </c>
      <c r="N96" s="32">
        <v>19410</v>
      </c>
    </row>
    <row r="97" spans="1:14" x14ac:dyDescent="0.2">
      <c r="A97">
        <f t="shared" si="3"/>
        <v>96</v>
      </c>
      <c r="B97" t="str">
        <f t="shared" si="4"/>
        <v>No</v>
      </c>
      <c r="C97" t="s">
        <v>87</v>
      </c>
      <c r="D97" s="44" t="s">
        <v>59</v>
      </c>
      <c r="E97" s="31">
        <v>45966</v>
      </c>
      <c r="F97" s="44" t="s">
        <v>94</v>
      </c>
      <c r="G97" s="44" t="s">
        <v>95</v>
      </c>
      <c r="H97" s="44" t="s">
        <v>103</v>
      </c>
      <c r="I97" s="44" t="s">
        <v>109</v>
      </c>
      <c r="J97" s="44" t="s">
        <v>115</v>
      </c>
      <c r="K97" s="29" t="s">
        <v>92</v>
      </c>
      <c r="L97" t="s">
        <v>35</v>
      </c>
      <c r="M97" t="str">
        <f t="shared" si="5"/>
        <v>NovaEdge Solutions Stationery Material Order month of November -2025</v>
      </c>
      <c r="N97" s="32">
        <v>6025</v>
      </c>
    </row>
    <row r="98" spans="1:14" x14ac:dyDescent="0.2">
      <c r="A98">
        <f t="shared" si="3"/>
        <v>97</v>
      </c>
      <c r="B98" t="str">
        <f t="shared" si="4"/>
        <v>No</v>
      </c>
      <c r="C98" t="s">
        <v>77</v>
      </c>
      <c r="D98" s="44" t="s">
        <v>58</v>
      </c>
      <c r="E98" s="31">
        <v>45966</v>
      </c>
      <c r="F98" s="44" t="s">
        <v>94</v>
      </c>
      <c r="G98" s="44" t="s">
        <v>95</v>
      </c>
      <c r="H98" s="44" t="s">
        <v>103</v>
      </c>
      <c r="I98" s="44" t="s">
        <v>109</v>
      </c>
      <c r="J98" s="44" t="s">
        <v>115</v>
      </c>
      <c r="K98" s="29" t="s">
        <v>92</v>
      </c>
      <c r="L98" t="s">
        <v>35</v>
      </c>
      <c r="M98" t="str">
        <f t="shared" si="5"/>
        <v>NovaEdge Solutions Stationery Material Order month of November -2025</v>
      </c>
      <c r="N98" s="32">
        <v>2060</v>
      </c>
    </row>
    <row r="99" spans="1:14" x14ac:dyDescent="0.2">
      <c r="A99">
        <f t="shared" si="3"/>
        <v>98</v>
      </c>
      <c r="B99" t="str">
        <f t="shared" si="4"/>
        <v>No</v>
      </c>
      <c r="C99" t="s">
        <v>78</v>
      </c>
      <c r="D99" s="44" t="s">
        <v>63</v>
      </c>
      <c r="E99" s="31">
        <v>46000</v>
      </c>
      <c r="F99" s="44" t="s">
        <v>94</v>
      </c>
      <c r="G99" s="44" t="s">
        <v>95</v>
      </c>
      <c r="H99" s="44" t="s">
        <v>103</v>
      </c>
      <c r="I99" s="44" t="s">
        <v>109</v>
      </c>
      <c r="J99" s="44" t="s">
        <v>115</v>
      </c>
      <c r="K99" s="29" t="s">
        <v>92</v>
      </c>
      <c r="L99" t="s">
        <v>35</v>
      </c>
      <c r="M99" t="str">
        <f t="shared" si="5"/>
        <v>NovaEdge Solutions Stationery Material Order month of December -2025</v>
      </c>
      <c r="N99" s="32">
        <v>27617.5</v>
      </c>
    </row>
    <row r="100" spans="1:14" x14ac:dyDescent="0.2">
      <c r="A100">
        <f t="shared" si="3"/>
        <v>99</v>
      </c>
      <c r="B100" t="str">
        <f t="shared" si="4"/>
        <v>No</v>
      </c>
      <c r="C100" t="s">
        <v>70</v>
      </c>
      <c r="D100" s="44" t="s">
        <v>64</v>
      </c>
      <c r="E100" s="31">
        <v>45992</v>
      </c>
      <c r="F100" s="44" t="s">
        <v>94</v>
      </c>
      <c r="G100" s="44" t="s">
        <v>95</v>
      </c>
      <c r="H100" s="44" t="s">
        <v>103</v>
      </c>
      <c r="I100" s="44" t="s">
        <v>109</v>
      </c>
      <c r="J100" s="44" t="s">
        <v>115</v>
      </c>
      <c r="K100" s="29" t="s">
        <v>92</v>
      </c>
      <c r="L100" s="44" t="s">
        <v>34</v>
      </c>
      <c r="M100" t="str">
        <f t="shared" si="5"/>
        <v>NovaEdge Solutions HK Material Order month of December -2025</v>
      </c>
      <c r="N100" s="32">
        <v>24597.5</v>
      </c>
    </row>
    <row r="101" spans="1:14" x14ac:dyDescent="0.2">
      <c r="A101">
        <f t="shared" si="3"/>
        <v>100</v>
      </c>
      <c r="B101" t="str">
        <f t="shared" si="4"/>
        <v>No</v>
      </c>
      <c r="C101" t="s">
        <v>70</v>
      </c>
      <c r="D101" s="44" t="s">
        <v>65</v>
      </c>
      <c r="E101" s="31">
        <v>45992</v>
      </c>
      <c r="F101" s="44" t="s">
        <v>94</v>
      </c>
      <c r="G101" s="44" t="s">
        <v>95</v>
      </c>
      <c r="H101" s="44" t="s">
        <v>103</v>
      </c>
      <c r="I101" s="44" t="s">
        <v>109</v>
      </c>
      <c r="J101" s="44" t="s">
        <v>115</v>
      </c>
      <c r="K101" s="29" t="s">
        <v>91</v>
      </c>
      <c r="L101" s="29" t="s">
        <v>68</v>
      </c>
      <c r="M101" t="str">
        <f t="shared" si="5"/>
        <v>Orion TradeCorp Coffee Material Order month of December -2025</v>
      </c>
      <c r="N101" s="32">
        <v>12008</v>
      </c>
    </row>
    <row r="102" spans="1:14" x14ac:dyDescent="0.2">
      <c r="A102">
        <f t="shared" si="3"/>
        <v>101</v>
      </c>
      <c r="B102" t="str">
        <f t="shared" si="4"/>
        <v>No</v>
      </c>
      <c r="C102" t="s">
        <v>70</v>
      </c>
      <c r="D102" s="44" t="s">
        <v>66</v>
      </c>
      <c r="E102" s="31">
        <v>45992</v>
      </c>
      <c r="F102" s="44" t="s">
        <v>94</v>
      </c>
      <c r="G102" s="44" t="s">
        <v>95</v>
      </c>
      <c r="H102" s="44" t="s">
        <v>103</v>
      </c>
      <c r="I102" s="44" t="s">
        <v>109</v>
      </c>
      <c r="J102" s="44" t="s">
        <v>115</v>
      </c>
      <c r="K102" s="29" t="s">
        <v>92</v>
      </c>
      <c r="L102" t="s">
        <v>35</v>
      </c>
      <c r="M102" t="str">
        <f t="shared" si="5"/>
        <v>NovaEdge Solutions Stationery Material Order month of December -2025</v>
      </c>
      <c r="N102" s="32">
        <v>1070</v>
      </c>
    </row>
    <row r="103" spans="1:14" x14ac:dyDescent="0.2">
      <c r="A103">
        <f t="shared" si="3"/>
        <v>102</v>
      </c>
      <c r="B103" t="str">
        <f t="shared" si="4"/>
        <v>No</v>
      </c>
      <c r="C103" t="s">
        <v>77</v>
      </c>
      <c r="D103" s="44" t="s">
        <v>64</v>
      </c>
      <c r="E103" s="31">
        <v>45992</v>
      </c>
      <c r="F103" s="44" t="s">
        <v>94</v>
      </c>
      <c r="G103" s="44" t="s">
        <v>95</v>
      </c>
      <c r="H103" s="44" t="s">
        <v>103</v>
      </c>
      <c r="I103" s="44" t="s">
        <v>109</v>
      </c>
      <c r="J103" s="44" t="s">
        <v>115</v>
      </c>
      <c r="K103" s="29" t="s">
        <v>92</v>
      </c>
      <c r="L103" t="s">
        <v>35</v>
      </c>
      <c r="M103" t="str">
        <f t="shared" si="5"/>
        <v>NovaEdge Solutions Stationery Material Order month of December -2025</v>
      </c>
      <c r="N103" s="32">
        <v>320</v>
      </c>
    </row>
    <row r="104" spans="1:14" x14ac:dyDescent="0.2">
      <c r="A104">
        <f t="shared" si="3"/>
        <v>103</v>
      </c>
      <c r="B104" t="str">
        <f t="shared" si="4"/>
        <v>No</v>
      </c>
      <c r="C104" t="s">
        <v>72</v>
      </c>
      <c r="D104" s="44" t="s">
        <v>64</v>
      </c>
      <c r="E104" s="31">
        <v>45992</v>
      </c>
      <c r="F104" s="44" t="s">
        <v>94</v>
      </c>
      <c r="G104" s="44" t="s">
        <v>95</v>
      </c>
      <c r="H104" s="44" t="s">
        <v>103</v>
      </c>
      <c r="I104" s="44" t="s">
        <v>109</v>
      </c>
      <c r="J104" s="44" t="s">
        <v>115</v>
      </c>
      <c r="K104" s="29" t="s">
        <v>92</v>
      </c>
      <c r="L104" t="s">
        <v>35</v>
      </c>
      <c r="M104" t="str">
        <f t="shared" si="5"/>
        <v>NovaEdge Solutions Stationery Material Order month of December -2025</v>
      </c>
      <c r="N104" s="32">
        <v>6273.2</v>
      </c>
    </row>
    <row r="105" spans="1:14" x14ac:dyDescent="0.2">
      <c r="A105">
        <f t="shared" si="3"/>
        <v>104</v>
      </c>
      <c r="B105" t="str">
        <f t="shared" si="4"/>
        <v>No</v>
      </c>
      <c r="C105" t="s">
        <v>72</v>
      </c>
      <c r="D105" s="44" t="s">
        <v>65</v>
      </c>
      <c r="E105" s="31">
        <v>45992</v>
      </c>
      <c r="F105" s="44" t="s">
        <v>94</v>
      </c>
      <c r="G105" s="44" t="s">
        <v>95</v>
      </c>
      <c r="H105" s="44" t="s">
        <v>103</v>
      </c>
      <c r="I105" s="44" t="s">
        <v>109</v>
      </c>
      <c r="J105" s="44" t="s">
        <v>115</v>
      </c>
      <c r="K105" s="29" t="s">
        <v>92</v>
      </c>
      <c r="L105" t="s">
        <v>34</v>
      </c>
      <c r="M105" t="str">
        <f t="shared" si="5"/>
        <v>NovaEdge Solutions HK Material Order month of December -2025</v>
      </c>
      <c r="N105" s="32">
        <v>5478</v>
      </c>
    </row>
    <row r="106" spans="1:14" x14ac:dyDescent="0.2">
      <c r="A106">
        <f t="shared" si="3"/>
        <v>105</v>
      </c>
      <c r="B106" t="str">
        <f t="shared" si="4"/>
        <v>No</v>
      </c>
      <c r="C106" t="s">
        <v>82</v>
      </c>
      <c r="D106" s="44" t="s">
        <v>64</v>
      </c>
      <c r="E106" s="31">
        <v>45992</v>
      </c>
      <c r="F106" s="44" t="s">
        <v>94</v>
      </c>
      <c r="G106" s="44" t="s">
        <v>95</v>
      </c>
      <c r="H106" s="44" t="s">
        <v>103</v>
      </c>
      <c r="I106" s="44" t="s">
        <v>109</v>
      </c>
      <c r="J106" s="44" t="s">
        <v>115</v>
      </c>
      <c r="K106" s="29" t="s">
        <v>91</v>
      </c>
      <c r="L106" s="29" t="s">
        <v>68</v>
      </c>
      <c r="M106" t="str">
        <f t="shared" si="5"/>
        <v>Orion TradeCorp Coffee Material Order month of December -2025</v>
      </c>
      <c r="N106" s="32">
        <v>26640</v>
      </c>
    </row>
    <row r="107" spans="1:14" x14ac:dyDescent="0.2">
      <c r="A107">
        <f t="shared" si="3"/>
        <v>106</v>
      </c>
      <c r="B107" t="str">
        <f t="shared" si="4"/>
        <v>No</v>
      </c>
      <c r="C107" t="s">
        <v>71</v>
      </c>
      <c r="D107" t="s">
        <v>64</v>
      </c>
      <c r="E107" s="31">
        <v>45992</v>
      </c>
      <c r="F107" s="44" t="s">
        <v>94</v>
      </c>
      <c r="G107" s="44" t="s">
        <v>95</v>
      </c>
      <c r="H107" s="44" t="s">
        <v>103</v>
      </c>
      <c r="I107" s="44" t="s">
        <v>109</v>
      </c>
      <c r="J107" s="44" t="s">
        <v>115</v>
      </c>
      <c r="K107" s="29" t="s">
        <v>93</v>
      </c>
      <c r="L107" s="29" t="s">
        <v>68</v>
      </c>
      <c r="M107" t="str">
        <f t="shared" si="5"/>
        <v>AquaLeaf Drinks Coffee Material Order month of December -2025</v>
      </c>
      <c r="N107" s="32">
        <v>12800</v>
      </c>
    </row>
    <row r="108" spans="1:14" x14ac:dyDescent="0.2">
      <c r="A108">
        <f t="shared" si="3"/>
        <v>107</v>
      </c>
      <c r="B108" t="str">
        <f t="shared" si="4"/>
        <v>No</v>
      </c>
      <c r="C108" t="s">
        <v>71</v>
      </c>
      <c r="D108" t="s">
        <v>65</v>
      </c>
      <c r="E108" s="31">
        <v>45992</v>
      </c>
      <c r="F108" s="44" t="s">
        <v>94</v>
      </c>
      <c r="G108" s="44" t="s">
        <v>95</v>
      </c>
      <c r="H108" s="44" t="s">
        <v>103</v>
      </c>
      <c r="I108" s="44" t="s">
        <v>109</v>
      </c>
      <c r="J108" s="44" t="s">
        <v>115</v>
      </c>
      <c r="K108" s="29" t="s">
        <v>92</v>
      </c>
      <c r="L108" t="s">
        <v>35</v>
      </c>
      <c r="M108" t="str">
        <f t="shared" si="5"/>
        <v>NovaEdge Solutions Stationery Material Order month of December -2025</v>
      </c>
      <c r="N108" s="32">
        <v>495</v>
      </c>
    </row>
    <row r="109" spans="1:14" x14ac:dyDescent="0.2">
      <c r="A109">
        <f t="shared" si="3"/>
        <v>108</v>
      </c>
      <c r="B109" t="str">
        <f t="shared" si="4"/>
        <v>No</v>
      </c>
      <c r="C109" t="s">
        <v>86</v>
      </c>
      <c r="D109" t="s">
        <v>64</v>
      </c>
      <c r="E109" s="31">
        <v>45992</v>
      </c>
      <c r="F109" s="44" t="s">
        <v>94</v>
      </c>
      <c r="G109" s="44" t="s">
        <v>95</v>
      </c>
      <c r="H109" s="44" t="s">
        <v>103</v>
      </c>
      <c r="I109" s="44" t="s">
        <v>109</v>
      </c>
      <c r="J109" s="44" t="s">
        <v>115</v>
      </c>
      <c r="K109" s="29" t="s">
        <v>92</v>
      </c>
      <c r="L109" t="s">
        <v>35</v>
      </c>
      <c r="M109" t="str">
        <f t="shared" si="5"/>
        <v>NovaEdge Solutions Stationery Material Order month of December -2025</v>
      </c>
      <c r="N109" s="32">
        <v>500</v>
      </c>
    </row>
    <row r="110" spans="1:14" x14ac:dyDescent="0.2">
      <c r="A110">
        <f t="shared" si="3"/>
        <v>109</v>
      </c>
      <c r="B110" t="str">
        <f t="shared" si="4"/>
        <v>No</v>
      </c>
      <c r="C110" t="s">
        <v>75</v>
      </c>
      <c r="D110" t="s">
        <v>64</v>
      </c>
      <c r="E110" s="31">
        <v>45992</v>
      </c>
      <c r="F110" s="44" t="s">
        <v>94</v>
      </c>
      <c r="G110" s="44" t="s">
        <v>95</v>
      </c>
      <c r="H110" s="44" t="s">
        <v>103</v>
      </c>
      <c r="I110" s="44" t="s">
        <v>109</v>
      </c>
      <c r="J110" s="44" t="s">
        <v>115</v>
      </c>
      <c r="K110" s="29" t="s">
        <v>92</v>
      </c>
      <c r="L110" t="s">
        <v>35</v>
      </c>
      <c r="M110" t="str">
        <f t="shared" si="5"/>
        <v>NovaEdge Solutions Stationery Material Order month of December -2025</v>
      </c>
      <c r="N110" s="32">
        <v>10931</v>
      </c>
    </row>
    <row r="111" spans="1:14" x14ac:dyDescent="0.2">
      <c r="A111">
        <f t="shared" si="3"/>
        <v>110</v>
      </c>
      <c r="B111" t="str">
        <f t="shared" si="4"/>
        <v>No</v>
      </c>
      <c r="C111" t="s">
        <v>75</v>
      </c>
      <c r="D111" t="s">
        <v>65</v>
      </c>
      <c r="E111" s="31">
        <v>45992</v>
      </c>
      <c r="F111" s="44" t="s">
        <v>94</v>
      </c>
      <c r="G111" s="44" t="s">
        <v>95</v>
      </c>
      <c r="H111" s="44" t="s">
        <v>103</v>
      </c>
      <c r="I111" s="44" t="s">
        <v>109</v>
      </c>
      <c r="J111" s="44" t="s">
        <v>115</v>
      </c>
      <c r="K111" s="29" t="s">
        <v>92</v>
      </c>
      <c r="L111" s="44" t="s">
        <v>34</v>
      </c>
      <c r="M111" t="str">
        <f t="shared" si="5"/>
        <v>NovaEdge Solutions HK Material Order month of December -2025</v>
      </c>
      <c r="N111" s="32">
        <v>58900</v>
      </c>
    </row>
    <row r="112" spans="1:14" x14ac:dyDescent="0.2">
      <c r="A112">
        <f t="shared" si="3"/>
        <v>111</v>
      </c>
      <c r="B112" t="str">
        <f t="shared" si="4"/>
        <v>No</v>
      </c>
      <c r="C112" t="s">
        <v>75</v>
      </c>
      <c r="D112" t="s">
        <v>66</v>
      </c>
      <c r="E112" s="31">
        <v>45992</v>
      </c>
      <c r="F112" s="44" t="s">
        <v>94</v>
      </c>
      <c r="G112" s="44" t="s">
        <v>95</v>
      </c>
      <c r="H112" s="44" t="s">
        <v>103</v>
      </c>
      <c r="I112" s="44" t="s">
        <v>109</v>
      </c>
      <c r="J112" s="44" t="s">
        <v>115</v>
      </c>
      <c r="K112" s="29" t="s">
        <v>91</v>
      </c>
      <c r="L112" s="29" t="s">
        <v>68</v>
      </c>
      <c r="M112" t="str">
        <f t="shared" si="5"/>
        <v>Orion TradeCorp Coffee Material Order month of December -2025</v>
      </c>
      <c r="N112" s="32">
        <v>20290</v>
      </c>
    </row>
    <row r="113" spans="1:14" x14ac:dyDescent="0.2">
      <c r="A113">
        <f t="shared" si="3"/>
        <v>112</v>
      </c>
      <c r="B113" t="str">
        <f t="shared" si="4"/>
        <v>No</v>
      </c>
      <c r="C113" t="s">
        <v>75</v>
      </c>
      <c r="D113" t="s">
        <v>67</v>
      </c>
      <c r="E113" s="31">
        <v>45992</v>
      </c>
      <c r="F113" s="44" t="s">
        <v>94</v>
      </c>
      <c r="G113" s="44" t="s">
        <v>95</v>
      </c>
      <c r="H113" s="44" t="s">
        <v>103</v>
      </c>
      <c r="I113" s="44" t="s">
        <v>109</v>
      </c>
      <c r="J113" s="44" t="s">
        <v>115</v>
      </c>
      <c r="K113" s="29" t="s">
        <v>92</v>
      </c>
      <c r="L113" s="29" t="s">
        <v>69</v>
      </c>
      <c r="M113" t="str">
        <f t="shared" si="5"/>
        <v>NovaEdge Solutions Medicine Material Order month of December -2025</v>
      </c>
      <c r="N113" s="32">
        <v>1622</v>
      </c>
    </row>
    <row r="114" spans="1:14" x14ac:dyDescent="0.2">
      <c r="A114">
        <f t="shared" si="3"/>
        <v>113</v>
      </c>
      <c r="B114" t="str">
        <f t="shared" si="4"/>
        <v>No</v>
      </c>
      <c r="C114" t="s">
        <v>87</v>
      </c>
      <c r="D114" t="s">
        <v>64</v>
      </c>
      <c r="E114" s="31">
        <v>45992</v>
      </c>
      <c r="F114" s="44" t="s">
        <v>94</v>
      </c>
      <c r="G114" s="44" t="s">
        <v>95</v>
      </c>
      <c r="H114" s="44" t="s">
        <v>103</v>
      </c>
      <c r="I114" s="44" t="s">
        <v>109</v>
      </c>
      <c r="J114" s="44" t="s">
        <v>115</v>
      </c>
      <c r="K114" s="29" t="s">
        <v>92</v>
      </c>
      <c r="L114" t="s">
        <v>35</v>
      </c>
      <c r="M114" t="str">
        <f t="shared" si="5"/>
        <v>NovaEdge Solutions Stationery Material Order month of December -2025</v>
      </c>
      <c r="N114" s="32">
        <v>1200</v>
      </c>
    </row>
    <row r="115" spans="1:14" x14ac:dyDescent="0.2">
      <c r="A115">
        <f t="shared" si="3"/>
        <v>114</v>
      </c>
      <c r="B115" t="str">
        <f t="shared" si="4"/>
        <v>No</v>
      </c>
      <c r="C115" t="s">
        <v>87</v>
      </c>
      <c r="D115" t="s">
        <v>65</v>
      </c>
      <c r="E115" s="31">
        <v>45992</v>
      </c>
      <c r="F115" s="44" t="s">
        <v>94</v>
      </c>
      <c r="G115" s="44" t="s">
        <v>95</v>
      </c>
      <c r="H115" s="44" t="s">
        <v>103</v>
      </c>
      <c r="I115" s="44" t="s">
        <v>109</v>
      </c>
      <c r="J115" s="44" t="s">
        <v>115</v>
      </c>
      <c r="K115" s="29" t="s">
        <v>91</v>
      </c>
      <c r="L115" s="29" t="s">
        <v>68</v>
      </c>
      <c r="M115" t="str">
        <f t="shared" si="5"/>
        <v>Orion TradeCorp Coffee Material Order month of December -2025</v>
      </c>
      <c r="N115" s="32">
        <v>26710</v>
      </c>
    </row>
    <row r="116" spans="1:14" x14ac:dyDescent="0.2">
      <c r="A116">
        <f t="shared" si="3"/>
        <v>115</v>
      </c>
      <c r="B116" t="str">
        <f t="shared" si="4"/>
        <v>No</v>
      </c>
      <c r="C116" t="s">
        <v>83</v>
      </c>
      <c r="D116" t="s">
        <v>64</v>
      </c>
      <c r="E116" s="31">
        <v>45992</v>
      </c>
      <c r="F116" s="44" t="s">
        <v>94</v>
      </c>
      <c r="G116" s="44" t="s">
        <v>95</v>
      </c>
      <c r="H116" s="44" t="s">
        <v>103</v>
      </c>
      <c r="I116" s="44" t="s">
        <v>109</v>
      </c>
      <c r="J116" s="44" t="s">
        <v>115</v>
      </c>
      <c r="K116" s="29" t="s">
        <v>92</v>
      </c>
      <c r="L116" s="29" t="s">
        <v>69</v>
      </c>
      <c r="M116" t="str">
        <f t="shared" si="5"/>
        <v>NovaEdge Solutions Medicine Material Order month of December -2025</v>
      </c>
      <c r="N116" s="32">
        <v>2930</v>
      </c>
    </row>
    <row r="117" spans="1:14" x14ac:dyDescent="0.2">
      <c r="A117">
        <f t="shared" si="3"/>
        <v>116</v>
      </c>
      <c r="B117" t="str">
        <f t="shared" si="4"/>
        <v>No</v>
      </c>
      <c r="C117" t="s">
        <v>83</v>
      </c>
      <c r="D117" t="s">
        <v>65</v>
      </c>
      <c r="E117" s="31">
        <v>45992</v>
      </c>
      <c r="F117" s="44" t="s">
        <v>94</v>
      </c>
      <c r="G117" s="44" t="s">
        <v>95</v>
      </c>
      <c r="H117" s="44" t="s">
        <v>103</v>
      </c>
      <c r="I117" s="44" t="s">
        <v>109</v>
      </c>
      <c r="J117" s="44" t="s">
        <v>115</v>
      </c>
      <c r="K117" s="29" t="s">
        <v>92</v>
      </c>
      <c r="L117" s="29" t="s">
        <v>35</v>
      </c>
      <c r="M117" t="str">
        <f t="shared" si="5"/>
        <v>NovaEdge Solutions Stationery Material Order month of December -2025</v>
      </c>
      <c r="N117" s="32">
        <v>20513</v>
      </c>
    </row>
    <row r="118" spans="1:14" x14ac:dyDescent="0.2">
      <c r="A118">
        <f t="shared" si="3"/>
        <v>117</v>
      </c>
      <c r="B118" t="str">
        <f t="shared" si="4"/>
        <v>No</v>
      </c>
      <c r="C118" t="s">
        <v>83</v>
      </c>
      <c r="D118" t="s">
        <v>66</v>
      </c>
      <c r="E118" s="31">
        <v>45992</v>
      </c>
      <c r="F118" s="44" t="s">
        <v>94</v>
      </c>
      <c r="G118" s="44" t="s">
        <v>95</v>
      </c>
      <c r="H118" s="44" t="s">
        <v>103</v>
      </c>
      <c r="I118" s="44" t="s">
        <v>109</v>
      </c>
      <c r="J118" s="44" t="s">
        <v>115</v>
      </c>
      <c r="K118" s="29" t="s">
        <v>92</v>
      </c>
      <c r="L118" s="29" t="s">
        <v>34</v>
      </c>
      <c r="M118" t="str">
        <f t="shared" si="5"/>
        <v>NovaEdge Solutions HK Material Order month of December -2025</v>
      </c>
      <c r="N118" s="32">
        <v>50322</v>
      </c>
    </row>
    <row r="119" spans="1:14" x14ac:dyDescent="0.2">
      <c r="A119">
        <f t="shared" si="3"/>
        <v>118</v>
      </c>
      <c r="B119" t="str">
        <f t="shared" si="4"/>
        <v>No</v>
      </c>
      <c r="C119" t="s">
        <v>83</v>
      </c>
      <c r="D119" t="s">
        <v>67</v>
      </c>
      <c r="E119" s="31">
        <v>45992</v>
      </c>
      <c r="F119" s="44" t="s">
        <v>94</v>
      </c>
      <c r="G119" s="44" t="s">
        <v>95</v>
      </c>
      <c r="H119" s="44" t="s">
        <v>103</v>
      </c>
      <c r="I119" s="44" t="s">
        <v>109</v>
      </c>
      <c r="J119" s="44" t="s">
        <v>115</v>
      </c>
      <c r="K119" s="29" t="s">
        <v>91</v>
      </c>
      <c r="L119" s="29" t="s">
        <v>68</v>
      </c>
      <c r="M119" t="str">
        <f t="shared" si="5"/>
        <v>Orion TradeCorp Coffee Material Order month of December -2025</v>
      </c>
      <c r="N119" s="32">
        <v>56000</v>
      </c>
    </row>
    <row r="120" spans="1:14" x14ac:dyDescent="0.2">
      <c r="A120">
        <f t="shared" si="3"/>
        <v>119</v>
      </c>
      <c r="B120" t="str">
        <f t="shared" si="4"/>
        <v>No</v>
      </c>
    </row>
  </sheetData>
  <autoFilter ref="A2:N119" xr:uid="{00000000-0001-0000-0100-000000000000}"/>
  <phoneticPr fontId="12" type="noConversion"/>
  <conditionalFormatting sqref="B2:B1048576">
    <cfRule type="containsText" dxfId="0" priority="1" operator="containsText" text="Its Duplicate">
      <formula>NOT(ISERROR(SEARCH("Its Duplicate",B2)))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100-000002000000}">
          <x14:formula1>
            <xm:f>Validation!$B$2:$B$33</xm:f>
          </x14:formula1>
          <xm:sqref>K2</xm:sqref>
        </x14:dataValidation>
        <x14:dataValidation type="list" allowBlank="1" showInputMessage="1" showErrorMessage="1" xr:uid="{00000000-0002-0000-0100-000003000000}">
          <x14:formula1>
            <xm:f>Validation!$C:$C</xm:f>
          </x14:formula1>
          <xm:sqref>L2:L1048576</xm:sqref>
        </x14:dataValidation>
        <x14:dataValidation type="list" allowBlank="1" showInputMessage="1" showErrorMessage="1" xr:uid="{CB04E553-9A46-478A-94A7-0CACA728E048}">
          <x14:formula1>
            <xm:f>Validation!$A$2:$A$25</xm:f>
          </x14:formula1>
          <xm:sqref>C3:C1048576</xm:sqref>
        </x14:dataValidation>
        <x14:dataValidation type="list" allowBlank="1" showInputMessage="1" showErrorMessage="1" xr:uid="{40A39ED1-E732-4CEC-A7B4-F8E62FFC5E04}">
          <x14:formula1>
            <xm:f>Validation!$B$2:$B$23</xm:f>
          </x14:formula1>
          <xm:sqref>K3:K1048576</xm:sqref>
        </x14:dataValidation>
        <x14:dataValidation type="list" allowBlank="1" showInputMessage="1" showErrorMessage="1" xr:uid="{0F9A294C-C8E2-497B-9621-A0845A01C829}">
          <x14:formula1>
            <xm:f>Validation!$D$2:$D$8</xm:f>
          </x14:formula1>
          <xm:sqref>F3:F1048576</xm:sqref>
        </x14:dataValidation>
        <x14:dataValidation type="list" allowBlank="1" showInputMessage="1" showErrorMessage="1" xr:uid="{71F7A864-AF4D-48AE-AD38-348DD9CF8841}">
          <x14:formula1>
            <xm:f>Validation!$E$2:$E$12</xm:f>
          </x14:formula1>
          <xm:sqref>G3:G1048576</xm:sqref>
        </x14:dataValidation>
        <x14:dataValidation type="list" allowBlank="1" showInputMessage="1" showErrorMessage="1" xr:uid="{B3FA8E29-758B-42ED-ABA0-3D35D0F69014}">
          <x14:formula1>
            <xm:f>Validation!$F$2:$F$9</xm:f>
          </x14:formula1>
          <xm:sqref>H3:H1048576</xm:sqref>
        </x14:dataValidation>
        <x14:dataValidation type="list" allowBlank="1" showInputMessage="1" showErrorMessage="1" xr:uid="{36059896-1D5A-4251-BE1F-ABE05F9A2861}">
          <x14:formula1>
            <xm:f>Validation!$G$2:$G$8</xm:f>
          </x14:formula1>
          <xm:sqref>I3:I1048576</xm:sqref>
        </x14:dataValidation>
        <x14:dataValidation type="list" allowBlank="1" showInputMessage="1" showErrorMessage="1" xr:uid="{29880718-C9FC-484D-93C1-AE73881BA3A7}">
          <x14:formula1>
            <xm:f>Validation!$H$2:$H$8</xm:f>
          </x14:formula1>
          <xm:sqref>J3:J1048576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showGridLines="0" workbookViewId="0">
      <pane ySplit="1" topLeftCell="A2" activePane="bottomLeft" state="frozen"/>
      <selection pane="bottomLeft" activeCell="C15" sqref="C15"/>
    </sheetView>
  </sheetViews>
  <sheetFormatPr defaultColWidth="0" defaultRowHeight="12.75" x14ac:dyDescent="0.2"/>
  <cols>
    <col min="1" max="1" width="21.5703125" bestFit="1" customWidth="1"/>
    <col min="2" max="2" width="18.42578125" bestFit="1" customWidth="1"/>
    <col min="3" max="3" width="16.7109375" bestFit="1" customWidth="1"/>
    <col min="4" max="4" width="20.85546875" bestFit="1" customWidth="1"/>
    <col min="5" max="5" width="18.85546875" bestFit="1" customWidth="1"/>
    <col min="6" max="6" width="13.42578125" bestFit="1" customWidth="1"/>
    <col min="7" max="7" width="13.7109375" bestFit="1" customWidth="1"/>
    <col min="8" max="8" width="14.140625" bestFit="1" customWidth="1"/>
    <col min="9" max="9" width="9.140625" customWidth="1"/>
    <col min="10" max="10" width="1.7109375" customWidth="1"/>
    <col min="11" max="16384" width="9.140625" hidden="1"/>
  </cols>
  <sheetData>
    <row r="1" spans="1:8" x14ac:dyDescent="0.2">
      <c r="A1" s="28" t="s">
        <v>20</v>
      </c>
      <c r="B1" s="28" t="s">
        <v>32</v>
      </c>
      <c r="C1" s="28" t="s">
        <v>33</v>
      </c>
      <c r="D1" s="28" t="s">
        <v>23</v>
      </c>
      <c r="E1" s="28" t="s">
        <v>101</v>
      </c>
      <c r="F1" s="28" t="s">
        <v>102</v>
      </c>
      <c r="G1" s="28" t="s">
        <v>99</v>
      </c>
      <c r="H1" s="28" t="s">
        <v>100</v>
      </c>
    </row>
    <row r="2" spans="1:8" x14ac:dyDescent="0.2">
      <c r="A2" t="s">
        <v>70</v>
      </c>
      <c r="B2" t="s">
        <v>91</v>
      </c>
      <c r="C2" t="s">
        <v>68</v>
      </c>
      <c r="D2" t="s">
        <v>94</v>
      </c>
      <c r="E2" t="s">
        <v>95</v>
      </c>
      <c r="F2" t="s">
        <v>103</v>
      </c>
      <c r="G2" t="s">
        <v>104</v>
      </c>
      <c r="H2" t="s">
        <v>105</v>
      </c>
    </row>
    <row r="3" spans="1:8" x14ac:dyDescent="0.2">
      <c r="A3" t="s">
        <v>71</v>
      </c>
      <c r="B3" t="s">
        <v>92</v>
      </c>
      <c r="C3" t="s">
        <v>34</v>
      </c>
      <c r="D3" t="s">
        <v>106</v>
      </c>
      <c r="E3" t="s">
        <v>107</v>
      </c>
      <c r="F3" t="s">
        <v>108</v>
      </c>
      <c r="G3" t="s">
        <v>109</v>
      </c>
      <c r="H3" t="s">
        <v>110</v>
      </c>
    </row>
    <row r="4" spans="1:8" x14ac:dyDescent="0.2">
      <c r="A4" t="s">
        <v>72</v>
      </c>
      <c r="B4" t="s">
        <v>93</v>
      </c>
      <c r="C4" s="29" t="s">
        <v>35</v>
      </c>
      <c r="D4" s="29" t="s">
        <v>111</v>
      </c>
      <c r="E4" t="s">
        <v>112</v>
      </c>
      <c r="F4" t="s">
        <v>113</v>
      </c>
      <c r="G4" t="s">
        <v>114</v>
      </c>
      <c r="H4" t="s">
        <v>115</v>
      </c>
    </row>
    <row r="5" spans="1:8" x14ac:dyDescent="0.2">
      <c r="A5" t="s">
        <v>73</v>
      </c>
      <c r="C5" s="44" t="s">
        <v>69</v>
      </c>
      <c r="D5" s="44" t="s">
        <v>116</v>
      </c>
      <c r="E5" t="s">
        <v>117</v>
      </c>
      <c r="F5" t="s">
        <v>118</v>
      </c>
      <c r="G5" t="s">
        <v>119</v>
      </c>
      <c r="H5" t="s">
        <v>120</v>
      </c>
    </row>
    <row r="6" spans="1:8" x14ac:dyDescent="0.2">
      <c r="A6" t="s">
        <v>74</v>
      </c>
      <c r="D6" t="s">
        <v>121</v>
      </c>
      <c r="E6" t="s">
        <v>122</v>
      </c>
      <c r="F6" t="s">
        <v>123</v>
      </c>
      <c r="G6" t="s">
        <v>124</v>
      </c>
      <c r="H6" t="s">
        <v>125</v>
      </c>
    </row>
    <row r="7" spans="1:8" x14ac:dyDescent="0.2">
      <c r="A7" t="s">
        <v>75</v>
      </c>
    </row>
    <row r="8" spans="1:8" x14ac:dyDescent="0.2">
      <c r="A8" t="s">
        <v>76</v>
      </c>
    </row>
    <row r="9" spans="1:8" x14ac:dyDescent="0.2">
      <c r="A9" t="s">
        <v>77</v>
      </c>
    </row>
    <row r="10" spans="1:8" x14ac:dyDescent="0.2">
      <c r="A10" t="s">
        <v>78</v>
      </c>
    </row>
    <row r="11" spans="1:8" x14ac:dyDescent="0.2">
      <c r="A11" t="s">
        <v>79</v>
      </c>
    </row>
    <row r="12" spans="1:8" x14ac:dyDescent="0.2">
      <c r="A12" t="s">
        <v>80</v>
      </c>
    </row>
    <row r="13" spans="1:8" x14ac:dyDescent="0.2">
      <c r="A13" t="s">
        <v>81</v>
      </c>
    </row>
    <row r="14" spans="1:8" x14ac:dyDescent="0.2">
      <c r="A14" t="s">
        <v>82</v>
      </c>
    </row>
    <row r="15" spans="1:8" x14ac:dyDescent="0.2">
      <c r="A15" t="s">
        <v>83</v>
      </c>
    </row>
    <row r="16" spans="1:8" x14ac:dyDescent="0.2">
      <c r="A16" t="s">
        <v>84</v>
      </c>
    </row>
    <row r="17" spans="1:1" x14ac:dyDescent="0.2">
      <c r="A17" t="s">
        <v>85</v>
      </c>
    </row>
    <row r="18" spans="1:1" x14ac:dyDescent="0.2">
      <c r="A18" t="s">
        <v>86</v>
      </c>
    </row>
    <row r="19" spans="1:1" x14ac:dyDescent="0.2">
      <c r="A19" t="s">
        <v>87</v>
      </c>
    </row>
    <row r="20" spans="1:1" x14ac:dyDescent="0.2">
      <c r="A20" t="s">
        <v>88</v>
      </c>
    </row>
    <row r="21" spans="1:1" x14ac:dyDescent="0.2">
      <c r="A21" t="s">
        <v>89</v>
      </c>
    </row>
    <row r="22" spans="1:1" x14ac:dyDescent="0.2">
      <c r="A22" t="s">
        <v>90</v>
      </c>
    </row>
    <row r="23" spans="1:1" x14ac:dyDescent="0.2">
      <c r="A2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Requisition Form</vt:lpstr>
      <vt:lpstr>Data</vt:lpstr>
      <vt:lpstr>Validation</vt:lpstr>
      <vt:lpstr>'Requisition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Shreenivas</dc:creator>
  <cp:lastModifiedBy>Admin</cp:lastModifiedBy>
  <cp:lastPrinted>2026-01-13T06:48:55Z</cp:lastPrinted>
  <dcterms:created xsi:type="dcterms:W3CDTF">2024-05-30T12:25:36Z</dcterms:created>
  <dcterms:modified xsi:type="dcterms:W3CDTF">2026-01-18T15:19:30Z</dcterms:modified>
</cp:coreProperties>
</file>